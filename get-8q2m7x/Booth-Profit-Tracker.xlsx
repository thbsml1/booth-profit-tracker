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ooth Setup" sheetId="2" state="visible" r:id="rId4"/>
    <sheet name="Inventory &amp; Sales" sheetId="3" state="visible" r:id="rId5"/>
    <sheet name="Monthly Summary" sheetId="4" state="visible" r:id="rId6"/>
  </sheets>
  <definedNames>
    <definedName function="false" hidden="true" localSheetId="2" name="_xlnm._FilterDatabase" vbProcedure="false">'Inventory &amp; Sales'!$A$1:$M$251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<sst xmlns="http://schemas.openxmlformats.org/spreadsheetml/2006/main" count="74" uniqueCount="73">
  <si>
    <t xml:space="preserve">Booth Profit Tracker</t>
  </si>
  <si>
    <t xml:space="preserve">Know if your booth is actually making money.</t>
  </si>
  <si>
    <t xml:space="preserve">HOW TO USE IT (about 10 minutes to set up)</t>
  </si>
  <si>
    <t xml:space="preserve">1.  Go to the Booth Setup tab. Fill in the YELLOW cells: rent, store commission, card fee, booth size.</t>
  </si>
  <si>
    <t xml:space="preserve">2.  Go to the Inventory &amp; Sales tab. Add each item when it goes in your booth (cost, tag price, date in).</t>
  </si>
  <si>
    <t xml:space="preserve">3.  When something sells, fill in the Date Sold and Sale Price. Profit figures itself out.</t>
  </si>
  <si>
    <t xml:space="preserve">4.  Check the Monthly Summary tab. It shows profit or loss for every month, after rent and fees.</t>
  </si>
  <si>
    <t xml:space="preserve">COLOR KEY</t>
  </si>
  <si>
    <t xml:space="preserve">Yellow cells = you type here.   White cells = the sheet does the math. Don't type over them.</t>
  </si>
  <si>
    <t xml:space="preserve">Items that sit unsold longer than your 'stale' limit turn red, so you know what to mark down or pull.</t>
  </si>
  <si>
    <t xml:space="preserve">TIPS</t>
  </si>
  <si>
    <t xml:space="preserve">Rent a booth in more than one store? Make a copy of this file for each booth.</t>
  </si>
  <si>
    <t xml:space="preserve">Works in Excel, Google Sheets (File &gt; Import), and Apple Numbers.</t>
  </si>
  <si>
    <t xml:space="preserve">The example row on the Inventory &amp; Sales tab is there to show you the format. Delete it when you start.</t>
  </si>
  <si>
    <t xml:space="preserve">Booth Setup</t>
  </si>
  <si>
    <t xml:space="preserve">Fill in the yellow cells. Everything else updates on its own.</t>
  </si>
  <si>
    <t xml:space="preserve">YOUR NUMBERS</t>
  </si>
  <si>
    <t xml:space="preserve">Store / mall name</t>
  </si>
  <si>
    <t xml:space="preserve">Example Antique Mall</t>
  </si>
  <si>
    <t xml:space="preserve">Just a label for you.</t>
  </si>
  <si>
    <t xml:space="preserve">Monthly booth rent</t>
  </si>
  <si>
    <t xml:space="preserve">What you pay the store each month.</t>
  </si>
  <si>
    <t xml:space="preserve">Store commission on sales</t>
  </si>
  <si>
    <t xml:space="preserve">The store's cut of each sale. 10% = type 10%.</t>
  </si>
  <si>
    <t xml:space="preserve">Card processing fee</t>
  </si>
  <si>
    <t xml:space="preserve">If the store passes card fees to you. Put 0% if not.</t>
  </si>
  <si>
    <t xml:space="preserve">Booth size (square feet)</t>
  </si>
  <si>
    <t xml:space="preserve">Example: a 10 x 10 booth = 100 sq ft.</t>
  </si>
  <si>
    <t xml:space="preserve">Other monthly costs (supplies, gas, etc.)</t>
  </si>
  <si>
    <t xml:space="preserve">Tags, bags, cleaning supplies, trips to restock.</t>
  </si>
  <si>
    <t xml:space="preserve">Days before an item counts as 'stale'</t>
  </si>
  <si>
    <t xml:space="preserve">Unsold items older than this turn red on the log.</t>
  </si>
  <si>
    <t xml:space="preserve">WHAT IT MEANS</t>
  </si>
  <si>
    <t xml:space="preserve">Fixed costs each month</t>
  </si>
  <si>
    <t xml:space="preserve">Rent plus other costs. You pay these even if nothing sells.</t>
  </si>
  <si>
    <t xml:space="preserve">You keep this much of every $1 sold</t>
  </si>
  <si>
    <t xml:space="preserve">After the store's cut and card fees.</t>
  </si>
  <si>
    <t xml:space="preserve">Rent cost per square foot, per month</t>
  </si>
  <si>
    <t xml:space="preserve">Every square foot of your booth has to earn at least this much.</t>
  </si>
  <si>
    <t xml:space="preserve">BREAK-EVEN: sales needed each month*</t>
  </si>
  <si>
    <t xml:space="preserve">*Before item costs. Sell less than this and the booth loses money.</t>
  </si>
  <si>
    <t xml:space="preserve">Break-even, per week</t>
  </si>
  <si>
    <t xml:space="preserve">Same target, broken into weeks.</t>
  </si>
  <si>
    <t xml:space="preserve">Break-even with items: the Monthly Summary tab adds what you paid for the items you sold, so it shows true profit.</t>
  </si>
  <si>
    <t xml:space="preserve">Item</t>
  </si>
  <si>
    <t xml:space="preserve">Category</t>
  </si>
  <si>
    <t xml:space="preserve">Date In</t>
  </si>
  <si>
    <t xml:space="preserve">What You Paid</t>
  </si>
  <si>
    <t xml:space="preserve">Tag Price</t>
  </si>
  <si>
    <t xml:space="preserve">Date Sold</t>
  </si>
  <si>
    <t xml:space="preserve">Sale Price</t>
  </si>
  <si>
    <t xml:space="preserve">Store Commission</t>
  </si>
  <si>
    <t xml:space="preserve">Card Fee</t>
  </si>
  <si>
    <t xml:space="preserve">Profit on Item</t>
  </si>
  <si>
    <t xml:space="preserve">Days in Booth</t>
  </si>
  <si>
    <t xml:space="preserve">Status</t>
  </si>
  <si>
    <t xml:space="preserve">Month Sold</t>
  </si>
  <si>
    <t xml:space="preserve">Example: Pyrex mixing bowl (delete me)</t>
  </si>
  <si>
    <t xml:space="preserve">Kitchen</t>
  </si>
  <si>
    <t xml:space="preserve">Monthly Summary</t>
  </si>
  <si>
    <t xml:space="preserve">Type the first month you want to track in the yellow cell. The rest fills in.</t>
  </si>
  <si>
    <t xml:space="preserve">Start month:</t>
  </si>
  <si>
    <t xml:space="preserve">Month</t>
  </si>
  <si>
    <t xml:space="preserve">Items Sold</t>
  </si>
  <si>
    <t xml:space="preserve">Sales</t>
  </si>
  <si>
    <t xml:space="preserve">What You Paid for Items</t>
  </si>
  <si>
    <t xml:space="preserve">Card Fees</t>
  </si>
  <si>
    <t xml:space="preserve">Booth Rent</t>
  </si>
  <si>
    <t xml:space="preserve">Other Costs</t>
  </si>
  <si>
    <t xml:space="preserve">NET PROFIT</t>
  </si>
  <si>
    <t xml:space="preserve">Result</t>
  </si>
  <si>
    <t xml:space="preserve">YEAR TOTAL</t>
  </si>
  <si>
    <t xml:space="preserve">Months with no sales still show rent as a loss. That's on purpose: rent is due either way.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</si>
</sst>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"/>
    <numFmt numFmtId="167" formatCode="#,##0"/>
    <numFmt numFmtId="168" formatCode="\$0.00"/>
    <numFmt numFmtId="169" formatCode="m/d/yyyy"/>
    <numFmt numFmtId="170" formatCode="mmm\ yyyy"/>
    <numFmt numFmtId="171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7A6D"/>
      <name val="Arial"/>
      <family val="0"/>
      <charset val="1"/>
    </font>
    <font>
      <i val="true"/>
      <sz val="12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7A6D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7A6D"/>
        <bgColor rgb="FF15803D"/>
      </patternFill>
    </fill>
    <fill>
      <patternFill patternType="solid">
        <fgColor rgb="FFFFF4C2"/>
        <bgColor rgb="FFFFFF99"/>
      </patternFill>
    </fill>
    <fill>
      <patternFill patternType="solid">
        <fgColor rgb="FFE8F4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7A6D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color rgb="FFB91C1C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B91C1C"/>
      </font>
    </dxf>
    <dxf>
      <font>
        <name val="Arial"/>
        <charset val="1"/>
        <family val="0"/>
        <b val="1"/>
        <color rgb="FF15803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D"/>
      <rgbColor rgb="FFC0C0C0"/>
      <rgbColor rgb="FF808080"/>
      <rgbColor rgb="FF9999FF"/>
      <rgbColor rgb="FF993366"/>
      <rgbColor rgb="FFFFF4C2"/>
      <rgbColor rgb="FFE8F4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15803D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5" t="s">
        <v>12</v>
      </c>
    </row>
    <row r="18" customFormat="false" ht="26.85" hidden="false" customHeight="false" outlineLevel="0" collapsed="false">
      <c r="B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60"/>
  </cols>
  <sheetData>
    <row r="2" customFormat="false" ht="19.7" hidden="false" customHeight="false" outlineLevel="0" collapsed="false">
      <c r="B2" s="6" t="s">
        <v>14</v>
      </c>
    </row>
    <row r="3" customFormat="false" ht="15" hidden="false" customHeight="false" outlineLevel="0" collapsed="false">
      <c r="B3" s="7" t="s">
        <v>15</v>
      </c>
    </row>
    <row r="5" customFormat="false" ht="15" hidden="false" customHeight="false" outlineLevel="0" collapsed="false">
      <c r="B5" s="8" t="s">
        <v>16</v>
      </c>
      <c r="C5" s="9"/>
      <c r="D5" s="9"/>
    </row>
    <row r="6" customFormat="false" ht="15" hidden="false" customHeight="false" outlineLevel="0" collapsed="false">
      <c r="B6" s="10" t="s">
        <v>17</v>
      </c>
      <c r="C6" s="11" t="s">
        <v>18</v>
      </c>
      <c r="D6" s="12" t="s">
        <v>19</v>
      </c>
    </row>
    <row r="7" customFormat="false" ht="15" hidden="false" customHeight="false" outlineLevel="0" collapsed="false">
      <c r="B7" s="10" t="s">
        <v>20</v>
      </c>
      <c r="C7" s="13" t="n">
        <v>150</v>
      </c>
      <c r="D7" s="12" t="s">
        <v>21</v>
      </c>
    </row>
    <row r="8" customFormat="false" ht="15" hidden="false" customHeight="false" outlineLevel="0" collapsed="false">
      <c r="B8" s="10" t="s">
        <v>22</v>
      </c>
      <c r="C8" s="14" t="n">
        <v>0.1</v>
      </c>
      <c r="D8" s="12" t="s">
        <v>23</v>
      </c>
    </row>
    <row r="9" customFormat="false" ht="15" hidden="false" customHeight="false" outlineLevel="0" collapsed="false">
      <c r="B9" s="10" t="s">
        <v>24</v>
      </c>
      <c r="C9" s="14" t="n">
        <v>0.03</v>
      </c>
      <c r="D9" s="12" t="s">
        <v>25</v>
      </c>
    </row>
    <row r="10" customFormat="false" ht="15" hidden="false" customHeight="false" outlineLevel="0" collapsed="false">
      <c r="B10" s="10" t="s">
        <v>26</v>
      </c>
      <c r="C10" s="15" t="n">
        <v>100</v>
      </c>
      <c r="D10" s="12" t="s">
        <v>27</v>
      </c>
    </row>
    <row r="11" customFormat="false" ht="15" hidden="false" customHeight="false" outlineLevel="0" collapsed="false">
      <c r="B11" s="10" t="s">
        <v>28</v>
      </c>
      <c r="C11" s="13" t="n">
        <v>25</v>
      </c>
      <c r="D11" s="12" t="s">
        <v>29</v>
      </c>
    </row>
    <row r="12" customFormat="false" ht="15" hidden="false" customHeight="false" outlineLevel="0" collapsed="false">
      <c r="B12" s="10" t="s">
        <v>30</v>
      </c>
      <c r="C12" s="15" t="n">
        <v>90</v>
      </c>
      <c r="D12" s="12" t="s">
        <v>31</v>
      </c>
    </row>
    <row r="15" customFormat="false" ht="15" hidden="false" customHeight="false" outlineLevel="0" collapsed="false">
      <c r="B15" s="8" t="s">
        <v>32</v>
      </c>
      <c r="C15" s="9"/>
      <c r="D15" s="9"/>
    </row>
    <row r="16" customFormat="false" ht="15" hidden="false" customHeight="false" outlineLevel="0" collapsed="false">
      <c r="B16" s="10" t="s">
        <v>33</v>
      </c>
      <c r="C16" s="16" t="n">
        <f aca="false">C7+C11</f>
        <v>175</v>
      </c>
      <c r="D16" s="12" t="s">
        <v>34</v>
      </c>
    </row>
    <row r="17" customFormat="false" ht="15" hidden="false" customHeight="false" outlineLevel="0" collapsed="false">
      <c r="B17" s="10" t="s">
        <v>35</v>
      </c>
      <c r="C17" s="17" t="n">
        <f aca="false">1-C8-C9</f>
        <v>0.87</v>
      </c>
      <c r="D17" s="12" t="s">
        <v>36</v>
      </c>
    </row>
    <row r="18" customFormat="false" ht="15" hidden="false" customHeight="false" outlineLevel="0" collapsed="false">
      <c r="B18" s="10" t="s">
        <v>37</v>
      </c>
      <c r="C18" s="16" t="n">
        <f aca="false">IFERROR(C7/C10,0)</f>
        <v>1.5</v>
      </c>
      <c r="D18" s="12" t="s">
        <v>38</v>
      </c>
    </row>
    <row r="19" customFormat="false" ht="15" hidden="false" customHeight="false" outlineLevel="0" collapsed="false">
      <c r="B19" s="18" t="s">
        <v>39</v>
      </c>
      <c r="C19" s="19" t="n">
        <f aca="false">IFERROR(C16/C17,0)</f>
        <v>201.149425287356</v>
      </c>
      <c r="D19" s="12" t="s">
        <v>40</v>
      </c>
    </row>
    <row r="20" customFormat="false" ht="15" hidden="false" customHeight="false" outlineLevel="0" collapsed="false">
      <c r="B20" s="10" t="s">
        <v>41</v>
      </c>
      <c r="C20" s="16" t="n">
        <f aca="false">C19*12/52</f>
        <v>46.4190981432361</v>
      </c>
      <c r="D20" s="12" t="s">
        <v>42</v>
      </c>
    </row>
    <row r="22" customFormat="false" ht="15" hidden="false" customHeight="false" outlineLevel="0" collapsed="false">
      <c r="B22" s="1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20" t="s">
        <v>44</v>
      </c>
      <c r="B1" s="20" t="s">
        <v>45</v>
      </c>
      <c r="C1" s="20" t="s">
        <v>46</v>
      </c>
      <c r="D1" s="20" t="s">
        <v>47</v>
      </c>
      <c r="E1" s="20" t="s">
        <v>48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0" t="s">
        <v>55</v>
      </c>
      <c r="M1" s="20" t="s">
        <v>56</v>
      </c>
    </row>
    <row r="2" customFormat="false" ht="15" hidden="false" customHeight="false" outlineLevel="0" collapsed="false">
      <c r="A2" s="21" t="s">
        <v>57</v>
      </c>
      <c r="B2" s="21" t="s">
        <v>58</v>
      </c>
      <c r="C2" s="22" t="n">
        <v>46237</v>
      </c>
      <c r="D2" s="23" t="n">
        <v>4</v>
      </c>
      <c r="E2" s="23" t="n">
        <v>18</v>
      </c>
      <c r="F2" s="22" t="n">
        <v>46255</v>
      </c>
      <c r="G2" s="23" t="n">
        <v>16</v>
      </c>
      <c r="H2" s="24" t="n">
        <f aca="false">IF(G2="","",G2*'Booth Setup'!$C$8)</f>
        <v>1.6</v>
      </c>
      <c r="I2" s="24" t="n">
        <f aca="false">IF(G2="","",G2*'Booth Setup'!$C$9)</f>
        <v>0.48</v>
      </c>
      <c r="J2" s="24" t="n">
        <f aca="false">IF(G2="","",G2-H2-I2-D2)</f>
        <v>9.92</v>
      </c>
      <c r="K2" s="25" t="n">
        <f aca="true">IF(C2="","",IF(F2="",TODAY(),F2)-C2)</f>
        <v>18</v>
      </c>
      <c r="L2" s="26" t="str">
        <f aca="false">IF(A2="","",IF(G2&lt;&gt;"","Sold",IF(K2&gt;'Booth Setup'!$C$12,"STALE - mark down","In booth")))</f>
        <v>Sold</v>
      </c>
      <c r="M2" s="27" t="n">
        <f aca="false">IF(F2="","",DATE(YEAR(F2),MONTH(F2),1))</f>
        <v>46235</v>
      </c>
    </row>
    <row r="3" customFormat="false" ht="15" hidden="false" customHeight="false" outlineLevel="0" collapsed="false">
      <c r="A3" s="21"/>
      <c r="B3" s="21"/>
      <c r="C3" s="22"/>
      <c r="D3" s="23"/>
      <c r="E3" s="23"/>
      <c r="F3" s="22"/>
      <c r="G3" s="23"/>
      <c r="H3" s="24" t="str">
        <f aca="false">IF(G3="","",G3*'Booth Setup'!$C$8)</f>
        <v/>
      </c>
      <c r="I3" s="24" t="str">
        <f aca="false">IF(G3="","",G3*'Booth Setup'!$C$9)</f>
        <v/>
      </c>
      <c r="J3" s="24" t="str">
        <f aca="false">IF(G3="","",G3-H3-I3-D3)</f>
        <v/>
      </c>
      <c r="K3" s="25" t="str">
        <f aca="true">IF(C3="","",IF(F3="",TODAY(),F3)-C3)</f>
        <v/>
      </c>
      <c r="L3" s="26" t="str">
        <f aca="false">IF(A3="","",IF(G3&lt;&gt;"","Sold",IF(K3&gt;'Booth Setup'!$C$12,"STALE - mark down","In booth")))</f>
        <v/>
      </c>
      <c r="M3" s="27" t="str">
        <f aca="false">IF(F3="","",DATE(YEAR(F3),MONTH(F3),1))</f>
        <v/>
      </c>
    </row>
    <row r="4" customFormat="false" ht="15" hidden="false" customHeight="false" outlineLevel="0" collapsed="false">
      <c r="A4" s="21"/>
      <c r="B4" s="21"/>
      <c r="C4" s="22"/>
      <c r="D4" s="23"/>
      <c r="E4" s="23"/>
      <c r="F4" s="22"/>
      <c r="G4" s="23"/>
      <c r="H4" s="24" t="str">
        <f aca="false">IF(G4="","",G4*'Booth Setup'!$C$8)</f>
        <v/>
      </c>
      <c r="I4" s="24" t="str">
        <f aca="false">IF(G4="","",G4*'Booth Setup'!$C$9)</f>
        <v/>
      </c>
      <c r="J4" s="24" t="str">
        <f aca="false">IF(G4="","",G4-H4-I4-D4)</f>
        <v/>
      </c>
      <c r="K4" s="25" t="str">
        <f aca="true">IF(C4="","",IF(F4="",TODAY(),F4)-C4)</f>
        <v/>
      </c>
      <c r="L4" s="26" t="str">
        <f aca="false">IF(A4="","",IF(G4&lt;&gt;"","Sold",IF(K4&gt;'Booth Setup'!$C$12,"STALE - mark down","In booth")))</f>
        <v/>
      </c>
      <c r="M4" s="27" t="str">
        <f aca="false">IF(F4="","",DATE(YEAR(F4),MONTH(F4),1))</f>
        <v/>
      </c>
    </row>
    <row r="5" customFormat="false" ht="15" hidden="false" customHeight="false" outlineLevel="0" collapsed="false">
      <c r="A5" s="21"/>
      <c r="B5" s="21"/>
      <c r="C5" s="22"/>
      <c r="D5" s="23"/>
      <c r="E5" s="23"/>
      <c r="F5" s="22"/>
      <c r="G5" s="23"/>
      <c r="H5" s="24" t="str">
        <f aca="false">IF(G5="","",G5*'Booth Setup'!$C$8)</f>
        <v/>
      </c>
      <c r="I5" s="24" t="str">
        <f aca="false">IF(G5="","",G5*'Booth Setup'!$C$9)</f>
        <v/>
      </c>
      <c r="J5" s="24" t="str">
        <f aca="false">IF(G5="","",G5-H5-I5-D5)</f>
        <v/>
      </c>
      <c r="K5" s="25" t="str">
        <f aca="true">IF(C5="","",IF(F5="",TODAY(),F5)-C5)</f>
        <v/>
      </c>
      <c r="L5" s="26" t="str">
        <f aca="false">IF(A5="","",IF(G5&lt;&gt;"","Sold",IF(K5&gt;'Booth Setup'!$C$12,"STALE - mark down","In booth")))</f>
        <v/>
      </c>
      <c r="M5" s="27" t="str">
        <f aca="false">IF(F5="","",DATE(YEAR(F5),MONTH(F5),1))</f>
        <v/>
      </c>
    </row>
    <row r="6" customFormat="false" ht="15" hidden="false" customHeight="false" outlineLevel="0" collapsed="false">
      <c r="A6" s="21"/>
      <c r="B6" s="21"/>
      <c r="C6" s="22"/>
      <c r="D6" s="23"/>
      <c r="E6" s="23"/>
      <c r="F6" s="22"/>
      <c r="G6" s="23"/>
      <c r="H6" s="24" t="str">
        <f aca="false">IF(G6="","",G6*'Booth Setup'!$C$8)</f>
        <v/>
      </c>
      <c r="I6" s="24" t="str">
        <f aca="false">IF(G6="","",G6*'Booth Setup'!$C$9)</f>
        <v/>
      </c>
      <c r="J6" s="24" t="str">
        <f aca="false">IF(G6="","",G6-H6-I6-D6)</f>
        <v/>
      </c>
      <c r="K6" s="25" t="str">
        <f aca="true">IF(C6="","",IF(F6="",TODAY(),F6)-C6)</f>
        <v/>
      </c>
      <c r="L6" s="26" t="str">
        <f aca="false">IF(A6="","",IF(G6&lt;&gt;"","Sold",IF(K6&gt;'Booth Setup'!$C$12,"STALE - mark down","In booth")))</f>
        <v/>
      </c>
      <c r="M6" s="27" t="str">
        <f aca="false">IF(F6="","",DATE(YEAR(F6),MONTH(F6),1))</f>
        <v/>
      </c>
    </row>
    <row r="7" customFormat="false" ht="15" hidden="false" customHeight="false" outlineLevel="0" collapsed="false">
      <c r="A7" s="21"/>
      <c r="B7" s="21"/>
      <c r="C7" s="22"/>
      <c r="D7" s="23"/>
      <c r="E7" s="23"/>
      <c r="F7" s="22"/>
      <c r="G7" s="23"/>
      <c r="H7" s="24" t="str">
        <f aca="false">IF(G7="","",G7*'Booth Setup'!$C$8)</f>
        <v/>
      </c>
      <c r="I7" s="24" t="str">
        <f aca="false">IF(G7="","",G7*'Booth Setup'!$C$9)</f>
        <v/>
      </c>
      <c r="J7" s="24" t="str">
        <f aca="false">IF(G7="","",G7-H7-I7-D7)</f>
        <v/>
      </c>
      <c r="K7" s="25" t="str">
        <f aca="true">IF(C7="","",IF(F7="",TODAY(),F7)-C7)</f>
        <v/>
      </c>
      <c r="L7" s="26" t="str">
        <f aca="false">IF(A7="","",IF(G7&lt;&gt;"","Sold",IF(K7&gt;'Booth Setup'!$C$12,"STALE - mark down","In booth")))</f>
        <v/>
      </c>
      <c r="M7" s="27" t="str">
        <f aca="false">IF(F7="","",DATE(YEAR(F7),MONTH(F7),1))</f>
        <v/>
      </c>
    </row>
    <row r="8" customFormat="false" ht="15" hidden="false" customHeight="false" outlineLevel="0" collapsed="false">
      <c r="A8" s="21"/>
      <c r="B8" s="21"/>
      <c r="C8" s="22"/>
      <c r="D8" s="23"/>
      <c r="E8" s="23"/>
      <c r="F8" s="22"/>
      <c r="G8" s="23"/>
      <c r="H8" s="24" t="str">
        <f aca="false">IF(G8="","",G8*'Booth Setup'!$C$8)</f>
        <v/>
      </c>
      <c r="I8" s="24" t="str">
        <f aca="false">IF(G8="","",G8*'Booth Setup'!$C$9)</f>
        <v/>
      </c>
      <c r="J8" s="24" t="str">
        <f aca="false">IF(G8="","",G8-H8-I8-D8)</f>
        <v/>
      </c>
      <c r="K8" s="25" t="str">
        <f aca="true">IF(C8="","",IF(F8="",TODAY(),F8)-C8)</f>
        <v/>
      </c>
      <c r="L8" s="26" t="str">
        <f aca="false">IF(A8="","",IF(G8&lt;&gt;"","Sold",IF(K8&gt;'Booth Setup'!$C$12,"STALE - mark down","In booth")))</f>
        <v/>
      </c>
      <c r="M8" s="27" t="str">
        <f aca="false">IF(F8="","",DATE(YEAR(F8),MONTH(F8),1))</f>
        <v/>
      </c>
    </row>
    <row r="9" customFormat="false" ht="15" hidden="false" customHeight="false" outlineLevel="0" collapsed="false">
      <c r="A9" s="21"/>
      <c r="B9" s="21"/>
      <c r="C9" s="22"/>
      <c r="D9" s="23"/>
      <c r="E9" s="23"/>
      <c r="F9" s="22"/>
      <c r="G9" s="23"/>
      <c r="H9" s="24" t="str">
        <f aca="false">IF(G9="","",G9*'Booth Setup'!$C$8)</f>
        <v/>
      </c>
      <c r="I9" s="24" t="str">
        <f aca="false">IF(G9="","",G9*'Booth Setup'!$C$9)</f>
        <v/>
      </c>
      <c r="J9" s="24" t="str">
        <f aca="false">IF(G9="","",G9-H9-I9-D9)</f>
        <v/>
      </c>
      <c r="K9" s="25" t="str">
        <f aca="true">IF(C9="","",IF(F9="",TODAY(),F9)-C9)</f>
        <v/>
      </c>
      <c r="L9" s="26" t="str">
        <f aca="false">IF(A9="","",IF(G9&lt;&gt;"","Sold",IF(K9&gt;'Booth Setup'!$C$12,"STALE - mark down","In booth")))</f>
        <v/>
      </c>
      <c r="M9" s="27" t="str">
        <f aca="false">IF(F9="","",DATE(YEAR(F9),MONTH(F9),1))</f>
        <v/>
      </c>
    </row>
    <row r="10" customFormat="false" ht="15" hidden="false" customHeight="false" outlineLevel="0" collapsed="false">
      <c r="A10" s="21"/>
      <c r="B10" s="21"/>
      <c r="C10" s="22"/>
      <c r="D10" s="23"/>
      <c r="E10" s="23"/>
      <c r="F10" s="22"/>
      <c r="G10" s="23"/>
      <c r="H10" s="24" t="str">
        <f aca="false">IF(G10="","",G10*'Booth Setup'!$C$8)</f>
        <v/>
      </c>
      <c r="I10" s="24" t="str">
        <f aca="false">IF(G10="","",G10*'Booth Setup'!$C$9)</f>
        <v/>
      </c>
      <c r="J10" s="24" t="str">
        <f aca="false">IF(G10="","",G10-H10-I10-D10)</f>
        <v/>
      </c>
      <c r="K10" s="25" t="str">
        <f aca="true">IF(C10="","",IF(F10="",TODAY(),F10)-C10)</f>
        <v/>
      </c>
      <c r="L10" s="26" t="str">
        <f aca="false">IF(A10="","",IF(G10&lt;&gt;"","Sold",IF(K10&gt;'Booth Setup'!$C$12,"STALE - mark down","In booth")))</f>
        <v/>
      </c>
      <c r="M10" s="27" t="str">
        <f aca="false">IF(F10="","",DATE(YEAR(F10),MONTH(F10),1))</f>
        <v/>
      </c>
    </row>
    <row r="11" customFormat="false" ht="15" hidden="false" customHeight="false" outlineLevel="0" collapsed="false">
      <c r="A11" s="21"/>
      <c r="B11" s="21"/>
      <c r="C11" s="22"/>
      <c r="D11" s="23"/>
      <c r="E11" s="23"/>
      <c r="F11" s="22"/>
      <c r="G11" s="23"/>
      <c r="H11" s="24" t="str">
        <f aca="false">IF(G11="","",G11*'Booth Setup'!$C$8)</f>
        <v/>
      </c>
      <c r="I11" s="24" t="str">
        <f aca="false">IF(G11="","",G11*'Booth Setup'!$C$9)</f>
        <v/>
      </c>
      <c r="J11" s="24" t="str">
        <f aca="false">IF(G11="","",G11-H11-I11-D11)</f>
        <v/>
      </c>
      <c r="K11" s="25" t="str">
        <f aca="true">IF(C11="","",IF(F11="",TODAY(),F11)-C11)</f>
        <v/>
      </c>
      <c r="L11" s="26" t="str">
        <f aca="false">IF(A11="","",IF(G11&lt;&gt;"","Sold",IF(K11&gt;'Booth Setup'!$C$12,"STALE - mark down","In booth")))</f>
        <v/>
      </c>
      <c r="M11" s="27" t="str">
        <f aca="false">IF(F11="","",DATE(YEAR(F11),MONTH(F11),1))</f>
        <v/>
      </c>
    </row>
    <row r="12" customFormat="false" ht="15" hidden="false" customHeight="false" outlineLevel="0" collapsed="false">
      <c r="A12" s="21"/>
      <c r="B12" s="21"/>
      <c r="C12" s="22"/>
      <c r="D12" s="23"/>
      <c r="E12" s="23"/>
      <c r="F12" s="22"/>
      <c r="G12" s="23"/>
      <c r="H12" s="24" t="str">
        <f aca="false">IF(G12="","",G12*'Booth Setup'!$C$8)</f>
        <v/>
      </c>
      <c r="I12" s="24" t="str">
        <f aca="false">IF(G12="","",G12*'Booth Setup'!$C$9)</f>
        <v/>
      </c>
      <c r="J12" s="24" t="str">
        <f aca="false">IF(G12="","",G12-H12-I12-D12)</f>
        <v/>
      </c>
      <c r="K12" s="25" t="str">
        <f aca="true">IF(C12="","",IF(F12="",TODAY(),F12)-C12)</f>
        <v/>
      </c>
      <c r="L12" s="26" t="str">
        <f aca="false">IF(A12="","",IF(G12&lt;&gt;"","Sold",IF(K12&gt;'Booth Setup'!$C$12,"STALE - mark down","In booth")))</f>
        <v/>
      </c>
      <c r="M12" s="27" t="str">
        <f aca="false">IF(F12="","",DATE(YEAR(F12),MONTH(F12),1))</f>
        <v/>
      </c>
    </row>
    <row r="13" customFormat="false" ht="15" hidden="false" customHeight="false" outlineLevel="0" collapsed="false">
      <c r="A13" s="21"/>
      <c r="B13" s="21"/>
      <c r="C13" s="22"/>
      <c r="D13" s="23"/>
      <c r="E13" s="23"/>
      <c r="F13" s="22"/>
      <c r="G13" s="23"/>
      <c r="H13" s="24" t="str">
        <f aca="false">IF(G13="","",G13*'Booth Setup'!$C$8)</f>
        <v/>
      </c>
      <c r="I13" s="24" t="str">
        <f aca="false">IF(G13="","",G13*'Booth Setup'!$C$9)</f>
        <v/>
      </c>
      <c r="J13" s="24" t="str">
        <f aca="false">IF(G13="","",G13-H13-I13-D13)</f>
        <v/>
      </c>
      <c r="K13" s="25" t="str">
        <f aca="true">IF(C13="","",IF(F13="",TODAY(),F13)-C13)</f>
        <v/>
      </c>
      <c r="L13" s="26" t="str">
        <f aca="false">IF(A13="","",IF(G13&lt;&gt;"","Sold",IF(K13&gt;'Booth Setup'!$C$12,"STALE - mark down","In booth")))</f>
        <v/>
      </c>
      <c r="M13" s="27" t="str">
        <f aca="false">IF(F13="","",DATE(YEAR(F13),MONTH(F13),1))</f>
        <v/>
      </c>
    </row>
    <row r="14" customFormat="false" ht="15" hidden="false" customHeight="false" outlineLevel="0" collapsed="false">
      <c r="A14" s="21"/>
      <c r="B14" s="21"/>
      <c r="C14" s="22"/>
      <c r="D14" s="23"/>
      <c r="E14" s="23"/>
      <c r="F14" s="22"/>
      <c r="G14" s="23"/>
      <c r="H14" s="24" t="str">
        <f aca="false">IF(G14="","",G14*'Booth Setup'!$C$8)</f>
        <v/>
      </c>
      <c r="I14" s="24" t="str">
        <f aca="false">IF(G14="","",G14*'Booth Setup'!$C$9)</f>
        <v/>
      </c>
      <c r="J14" s="24" t="str">
        <f aca="false">IF(G14="","",G14-H14-I14-D14)</f>
        <v/>
      </c>
      <c r="K14" s="25" t="str">
        <f aca="true">IF(C14="","",IF(F14="",TODAY(),F14)-C14)</f>
        <v/>
      </c>
      <c r="L14" s="26" t="str">
        <f aca="false">IF(A14="","",IF(G14&lt;&gt;"","Sold",IF(K14&gt;'Booth Setup'!$C$12,"STALE - mark down","In booth")))</f>
        <v/>
      </c>
      <c r="M14" s="27" t="str">
        <f aca="false">IF(F14="","",DATE(YEAR(F14),MONTH(F14),1))</f>
        <v/>
      </c>
    </row>
    <row r="15" customFormat="false" ht="15" hidden="false" customHeight="false" outlineLevel="0" collapsed="false">
      <c r="A15" s="21"/>
      <c r="B15" s="21"/>
      <c r="C15" s="22"/>
      <c r="D15" s="23"/>
      <c r="E15" s="23"/>
      <c r="F15" s="22"/>
      <c r="G15" s="23"/>
      <c r="H15" s="24" t="str">
        <f aca="false">IF(G15="","",G15*'Booth Setup'!$C$8)</f>
        <v/>
      </c>
      <c r="I15" s="24" t="str">
        <f aca="false">IF(G15="","",G15*'Booth Setup'!$C$9)</f>
        <v/>
      </c>
      <c r="J15" s="24" t="str">
        <f aca="false">IF(G15="","",G15-H15-I15-D15)</f>
        <v/>
      </c>
      <c r="K15" s="25" t="str">
        <f aca="true">IF(C15="","",IF(F15="",TODAY(),F15)-C15)</f>
        <v/>
      </c>
      <c r="L15" s="26" t="str">
        <f aca="false">IF(A15="","",IF(G15&lt;&gt;"","Sold",IF(K15&gt;'Booth Setup'!$C$12,"STALE - mark down","In booth")))</f>
        <v/>
      </c>
      <c r="M15" s="27" t="str">
        <f aca="false">IF(F15="","",DATE(YEAR(F15),MONTH(F15),1))</f>
        <v/>
      </c>
    </row>
    <row r="16" customFormat="false" ht="15" hidden="false" customHeight="false" outlineLevel="0" collapsed="false">
      <c r="A16" s="21"/>
      <c r="B16" s="21"/>
      <c r="C16" s="22"/>
      <c r="D16" s="23"/>
      <c r="E16" s="23"/>
      <c r="F16" s="22"/>
      <c r="G16" s="23"/>
      <c r="H16" s="24" t="str">
        <f aca="false">IF(G16="","",G16*'Booth Setup'!$C$8)</f>
        <v/>
      </c>
      <c r="I16" s="24" t="str">
        <f aca="false">IF(G16="","",G16*'Booth Setup'!$C$9)</f>
        <v/>
      </c>
      <c r="J16" s="24" t="str">
        <f aca="false">IF(G16="","",G16-H16-I16-D16)</f>
        <v/>
      </c>
      <c r="K16" s="25" t="str">
        <f aca="true">IF(C16="","",IF(F16="",TODAY(),F16)-C16)</f>
        <v/>
      </c>
      <c r="L16" s="26" t="str">
        <f aca="false">IF(A16="","",IF(G16&lt;&gt;"","Sold",IF(K16&gt;'Booth Setup'!$C$12,"STALE - mark down","In booth")))</f>
        <v/>
      </c>
      <c r="M16" s="27" t="str">
        <f aca="false">IF(F16="","",DATE(YEAR(F16),MONTH(F16),1))</f>
        <v/>
      </c>
    </row>
    <row r="17" customFormat="false" ht="15" hidden="false" customHeight="false" outlineLevel="0" collapsed="false">
      <c r="A17" s="21"/>
      <c r="B17" s="21"/>
      <c r="C17" s="22"/>
      <c r="D17" s="23"/>
      <c r="E17" s="23"/>
      <c r="F17" s="22"/>
      <c r="G17" s="23"/>
      <c r="H17" s="24" t="str">
        <f aca="false">IF(G17="","",G17*'Booth Setup'!$C$8)</f>
        <v/>
      </c>
      <c r="I17" s="24" t="str">
        <f aca="false">IF(G17="","",G17*'Booth Setup'!$C$9)</f>
        <v/>
      </c>
      <c r="J17" s="24" t="str">
        <f aca="false">IF(G17="","",G17-H17-I17-D17)</f>
        <v/>
      </c>
      <c r="K17" s="25" t="str">
        <f aca="true">IF(C17="","",IF(F17="",TODAY(),F17)-C17)</f>
        <v/>
      </c>
      <c r="L17" s="26" t="str">
        <f aca="false">IF(A17="","",IF(G17&lt;&gt;"","Sold",IF(K17&gt;'Booth Setup'!$C$12,"STALE - mark down","In booth")))</f>
        <v/>
      </c>
      <c r="M17" s="27" t="str">
        <f aca="false">IF(F17="","",DATE(YEAR(F17),MONTH(F17),1))</f>
        <v/>
      </c>
    </row>
    <row r="18" customFormat="false" ht="15" hidden="false" customHeight="false" outlineLevel="0" collapsed="false">
      <c r="A18" s="21"/>
      <c r="B18" s="21"/>
      <c r="C18" s="22"/>
      <c r="D18" s="23"/>
      <c r="E18" s="23"/>
      <c r="F18" s="22"/>
      <c r="G18" s="23"/>
      <c r="H18" s="24" t="str">
        <f aca="false">IF(G18="","",G18*'Booth Setup'!$C$8)</f>
        <v/>
      </c>
      <c r="I18" s="24" t="str">
        <f aca="false">IF(G18="","",G18*'Booth Setup'!$C$9)</f>
        <v/>
      </c>
      <c r="J18" s="24" t="str">
        <f aca="false">IF(G18="","",G18-H18-I18-D18)</f>
        <v/>
      </c>
      <c r="K18" s="25" t="str">
        <f aca="true">IF(C18="","",IF(F18="",TODAY(),F18)-C18)</f>
        <v/>
      </c>
      <c r="L18" s="26" t="str">
        <f aca="false">IF(A18="","",IF(G18&lt;&gt;"","Sold",IF(K18&gt;'Booth Setup'!$C$12,"STALE - mark down","In booth")))</f>
        <v/>
      </c>
      <c r="M18" s="27" t="str">
        <f aca="false">IF(F18="","",DATE(YEAR(F18),MONTH(F18),1))</f>
        <v/>
      </c>
    </row>
    <row r="19" customFormat="false" ht="15" hidden="false" customHeight="false" outlineLevel="0" collapsed="false">
      <c r="A19" s="21"/>
      <c r="B19" s="21"/>
      <c r="C19" s="22"/>
      <c r="D19" s="23"/>
      <c r="E19" s="23"/>
      <c r="F19" s="22"/>
      <c r="G19" s="23"/>
      <c r="H19" s="24" t="str">
        <f aca="false">IF(G19="","",G19*'Booth Setup'!$C$8)</f>
        <v/>
      </c>
      <c r="I19" s="24" t="str">
        <f aca="false">IF(G19="","",G19*'Booth Setup'!$C$9)</f>
        <v/>
      </c>
      <c r="J19" s="24" t="str">
        <f aca="false">IF(G19="","",G19-H19-I19-D19)</f>
        <v/>
      </c>
      <c r="K19" s="25" t="str">
        <f aca="true">IF(C19="","",IF(F19="",TODAY(),F19)-C19)</f>
        <v/>
      </c>
      <c r="L19" s="26" t="str">
        <f aca="false">IF(A19="","",IF(G19&lt;&gt;"","Sold",IF(K19&gt;'Booth Setup'!$C$12,"STALE - mark down","In booth")))</f>
        <v/>
      </c>
      <c r="M19" s="27" t="str">
        <f aca="false">IF(F19="","",DATE(YEAR(F19),MONTH(F19),1))</f>
        <v/>
      </c>
    </row>
    <row r="20" customFormat="false" ht="15" hidden="false" customHeight="false" outlineLevel="0" collapsed="false">
      <c r="A20" s="21"/>
      <c r="B20" s="21"/>
      <c r="C20" s="22"/>
      <c r="D20" s="23"/>
      <c r="E20" s="23"/>
      <c r="F20" s="22"/>
      <c r="G20" s="23"/>
      <c r="H20" s="24" t="str">
        <f aca="false">IF(G20="","",G20*'Booth Setup'!$C$8)</f>
        <v/>
      </c>
      <c r="I20" s="24" t="str">
        <f aca="false">IF(G20="","",G20*'Booth Setup'!$C$9)</f>
        <v/>
      </c>
      <c r="J20" s="24" t="str">
        <f aca="false">IF(G20="","",G20-H20-I20-D20)</f>
        <v/>
      </c>
      <c r="K20" s="25" t="str">
        <f aca="true">IF(C20="","",IF(F20="",TODAY(),F20)-C20)</f>
        <v/>
      </c>
      <c r="L20" s="26" t="str">
        <f aca="false">IF(A20="","",IF(G20&lt;&gt;"","Sold",IF(K20&gt;'Booth Setup'!$C$12,"STALE - mark down","In booth")))</f>
        <v/>
      </c>
      <c r="M20" s="27" t="str">
        <f aca="false">IF(F20="","",DATE(YEAR(F20),MONTH(F20),1))</f>
        <v/>
      </c>
    </row>
    <row r="21" customFormat="false" ht="15" hidden="false" customHeight="false" outlineLevel="0" collapsed="false">
      <c r="A21" s="21"/>
      <c r="B21" s="21"/>
      <c r="C21" s="22"/>
      <c r="D21" s="23"/>
      <c r="E21" s="23"/>
      <c r="F21" s="22"/>
      <c r="G21" s="23"/>
      <c r="H21" s="24" t="str">
        <f aca="false">IF(G21="","",G21*'Booth Setup'!$C$8)</f>
        <v/>
      </c>
      <c r="I21" s="24" t="str">
        <f aca="false">IF(G21="","",G21*'Booth Setup'!$C$9)</f>
        <v/>
      </c>
      <c r="J21" s="24" t="str">
        <f aca="false">IF(G21="","",G21-H21-I21-D21)</f>
        <v/>
      </c>
      <c r="K21" s="25" t="str">
        <f aca="true">IF(C21="","",IF(F21="",TODAY(),F21)-C21)</f>
        <v/>
      </c>
      <c r="L21" s="26" t="str">
        <f aca="false">IF(A21="","",IF(G21&lt;&gt;"","Sold",IF(K21&gt;'Booth Setup'!$C$12,"STALE - mark down","In booth")))</f>
        <v/>
      </c>
      <c r="M21" s="27" t="str">
        <f aca="false">IF(F21="","",DATE(YEAR(F21),MONTH(F21),1))</f>
        <v/>
      </c>
    </row>
    <row r="22" customFormat="false" ht="15" hidden="false" customHeight="false" outlineLevel="0" collapsed="false">
      <c r="A22" s="21"/>
      <c r="B22" s="21"/>
      <c r="C22" s="22"/>
      <c r="D22" s="23"/>
      <c r="E22" s="23"/>
      <c r="F22" s="22"/>
      <c r="G22" s="23"/>
      <c r="H22" s="24" t="str">
        <f aca="false">IF(G22="","",G22*'Booth Setup'!$C$8)</f>
        <v/>
      </c>
      <c r="I22" s="24" t="str">
        <f aca="false">IF(G22="","",G22*'Booth Setup'!$C$9)</f>
        <v/>
      </c>
      <c r="J22" s="24" t="str">
        <f aca="false">IF(G22="","",G22-H22-I22-D22)</f>
        <v/>
      </c>
      <c r="K22" s="25" t="str">
        <f aca="true">IF(C22="","",IF(F22="",TODAY(),F22)-C22)</f>
        <v/>
      </c>
      <c r="L22" s="26" t="str">
        <f aca="false">IF(A22="","",IF(G22&lt;&gt;"","Sold",IF(K22&gt;'Booth Setup'!$C$12,"STALE - mark down","In booth")))</f>
        <v/>
      </c>
      <c r="M22" s="27" t="str">
        <f aca="false">IF(F22="","",DATE(YEAR(F22),MONTH(F22),1))</f>
        <v/>
      </c>
    </row>
    <row r="23" customFormat="false" ht="15" hidden="false" customHeight="false" outlineLevel="0" collapsed="false">
      <c r="A23" s="21"/>
      <c r="B23" s="21"/>
      <c r="C23" s="22"/>
      <c r="D23" s="23"/>
      <c r="E23" s="23"/>
      <c r="F23" s="22"/>
      <c r="G23" s="23"/>
      <c r="H23" s="24" t="str">
        <f aca="false">IF(G23="","",G23*'Booth Setup'!$C$8)</f>
        <v/>
      </c>
      <c r="I23" s="24" t="str">
        <f aca="false">IF(G23="","",G23*'Booth Setup'!$C$9)</f>
        <v/>
      </c>
      <c r="J23" s="24" t="str">
        <f aca="false">IF(G23="","",G23-H23-I23-D23)</f>
        <v/>
      </c>
      <c r="K23" s="25" t="str">
        <f aca="true">IF(C23="","",IF(F23="",TODAY(),F23)-C23)</f>
        <v/>
      </c>
      <c r="L23" s="26" t="str">
        <f aca="false">IF(A23="","",IF(G23&lt;&gt;"","Sold",IF(K23&gt;'Booth Setup'!$C$12,"STALE - mark down","In booth")))</f>
        <v/>
      </c>
      <c r="M23" s="27" t="str">
        <f aca="false">IF(F23="","",DATE(YEAR(F23),MONTH(F23),1))</f>
        <v/>
      </c>
    </row>
    <row r="24" customFormat="false" ht="15" hidden="false" customHeight="false" outlineLevel="0" collapsed="false">
      <c r="A24" s="21"/>
      <c r="B24" s="21"/>
      <c r="C24" s="22"/>
      <c r="D24" s="23"/>
      <c r="E24" s="23"/>
      <c r="F24" s="22"/>
      <c r="G24" s="23"/>
      <c r="H24" s="24" t="str">
        <f aca="false">IF(G24="","",G24*'Booth Setup'!$C$8)</f>
        <v/>
      </c>
      <c r="I24" s="24" t="str">
        <f aca="false">IF(G24="","",G24*'Booth Setup'!$C$9)</f>
        <v/>
      </c>
      <c r="J24" s="24" t="str">
        <f aca="false">IF(G24="","",G24-H24-I24-D24)</f>
        <v/>
      </c>
      <c r="K24" s="25" t="str">
        <f aca="true">IF(C24="","",IF(F24="",TODAY(),F24)-C24)</f>
        <v/>
      </c>
      <c r="L24" s="26" t="str">
        <f aca="false">IF(A24="","",IF(G24&lt;&gt;"","Sold",IF(K24&gt;'Booth Setup'!$C$12,"STALE - mark down","In booth")))</f>
        <v/>
      </c>
      <c r="M24" s="27" t="str">
        <f aca="false">IF(F24="","",DATE(YEAR(F24),MONTH(F24),1))</f>
        <v/>
      </c>
    </row>
    <row r="25" customFormat="false" ht="15" hidden="false" customHeight="false" outlineLevel="0" collapsed="false">
      <c r="A25" s="21"/>
      <c r="B25" s="21"/>
      <c r="C25" s="22"/>
      <c r="D25" s="23"/>
      <c r="E25" s="23"/>
      <c r="F25" s="22"/>
      <c r="G25" s="23"/>
      <c r="H25" s="24" t="str">
        <f aca="false">IF(G25="","",G25*'Booth Setup'!$C$8)</f>
        <v/>
      </c>
      <c r="I25" s="24" t="str">
        <f aca="false">IF(G25="","",G25*'Booth Setup'!$C$9)</f>
        <v/>
      </c>
      <c r="J25" s="24" t="str">
        <f aca="false">IF(G25="","",G25-H25-I25-D25)</f>
        <v/>
      </c>
      <c r="K25" s="25" t="str">
        <f aca="true">IF(C25="","",IF(F25="",TODAY(),F25)-C25)</f>
        <v/>
      </c>
      <c r="L25" s="26" t="str">
        <f aca="false">IF(A25="","",IF(G25&lt;&gt;"","Sold",IF(K25&gt;'Booth Setup'!$C$12,"STALE - mark down","In booth")))</f>
        <v/>
      </c>
      <c r="M25" s="27" t="str">
        <f aca="false">IF(F25="","",DATE(YEAR(F25),MONTH(F25),1))</f>
        <v/>
      </c>
    </row>
    <row r="26" customFormat="false" ht="15" hidden="false" customHeight="false" outlineLevel="0" collapsed="false">
      <c r="A26" s="21"/>
      <c r="B26" s="21"/>
      <c r="C26" s="22"/>
      <c r="D26" s="23"/>
      <c r="E26" s="23"/>
      <c r="F26" s="22"/>
      <c r="G26" s="23"/>
      <c r="H26" s="24" t="str">
        <f aca="false">IF(G26="","",G26*'Booth Setup'!$C$8)</f>
        <v/>
      </c>
      <c r="I26" s="24" t="str">
        <f aca="false">IF(G26="","",G26*'Booth Setup'!$C$9)</f>
        <v/>
      </c>
      <c r="J26" s="24" t="str">
        <f aca="false">IF(G26="","",G26-H26-I26-D26)</f>
        <v/>
      </c>
      <c r="K26" s="25" t="str">
        <f aca="true">IF(C26="","",IF(F26="",TODAY(),F26)-C26)</f>
        <v/>
      </c>
      <c r="L26" s="26" t="str">
        <f aca="false">IF(A26="","",IF(G26&lt;&gt;"","Sold",IF(K26&gt;'Booth Setup'!$C$12,"STALE - mark down","In booth")))</f>
        <v/>
      </c>
      <c r="M26" s="27" t="str">
        <f aca="false">IF(F26="","",DATE(YEAR(F26),MONTH(F26),1))</f>
        <v/>
      </c>
    </row>
    <row r="27" customFormat="false" ht="15" hidden="false" customHeight="false" outlineLevel="0" collapsed="false">
      <c r="A27" s="21"/>
      <c r="B27" s="21"/>
      <c r="C27" s="22"/>
      <c r="D27" s="23"/>
      <c r="E27" s="23"/>
      <c r="F27" s="22"/>
      <c r="G27" s="23"/>
      <c r="H27" s="24" t="str">
        <f aca="false">IF(G27="","",G27*'Booth Setup'!$C$8)</f>
        <v/>
      </c>
      <c r="I27" s="24" t="str">
        <f aca="false">IF(G27="","",G27*'Booth Setup'!$C$9)</f>
        <v/>
      </c>
      <c r="J27" s="24" t="str">
        <f aca="false">IF(G27="","",G27-H27-I27-D27)</f>
        <v/>
      </c>
      <c r="K27" s="25" t="str">
        <f aca="true">IF(C27="","",IF(F27="",TODAY(),F27)-C27)</f>
        <v/>
      </c>
      <c r="L27" s="26" t="str">
        <f aca="false">IF(A27="","",IF(G27&lt;&gt;"","Sold",IF(K27&gt;'Booth Setup'!$C$12,"STALE - mark down","In booth")))</f>
        <v/>
      </c>
      <c r="M27" s="27" t="str">
        <f aca="false">IF(F27="","",DATE(YEAR(F27),MONTH(F27),1))</f>
        <v/>
      </c>
    </row>
    <row r="28" customFormat="false" ht="15" hidden="false" customHeight="false" outlineLevel="0" collapsed="false">
      <c r="A28" s="21"/>
      <c r="B28" s="21"/>
      <c r="C28" s="22"/>
      <c r="D28" s="23"/>
      <c r="E28" s="23"/>
      <c r="F28" s="22"/>
      <c r="G28" s="23"/>
      <c r="H28" s="24" t="str">
        <f aca="false">IF(G28="","",G28*'Booth Setup'!$C$8)</f>
        <v/>
      </c>
      <c r="I28" s="24" t="str">
        <f aca="false">IF(G28="","",G28*'Booth Setup'!$C$9)</f>
        <v/>
      </c>
      <c r="J28" s="24" t="str">
        <f aca="false">IF(G28="","",G28-H28-I28-D28)</f>
        <v/>
      </c>
      <c r="K28" s="25" t="str">
        <f aca="true">IF(C28="","",IF(F28="",TODAY(),F28)-C28)</f>
        <v/>
      </c>
      <c r="L28" s="26" t="str">
        <f aca="false">IF(A28="","",IF(G28&lt;&gt;"","Sold",IF(K28&gt;'Booth Setup'!$C$12,"STALE - mark down","In booth")))</f>
        <v/>
      </c>
      <c r="M28" s="27" t="str">
        <f aca="false">IF(F28="","",DATE(YEAR(F28),MONTH(F28),1))</f>
        <v/>
      </c>
    </row>
    <row r="29" customFormat="false" ht="15" hidden="false" customHeight="false" outlineLevel="0" collapsed="false">
      <c r="A29" s="21"/>
      <c r="B29" s="21"/>
      <c r="C29" s="22"/>
      <c r="D29" s="23"/>
      <c r="E29" s="23"/>
      <c r="F29" s="22"/>
      <c r="G29" s="23"/>
      <c r="H29" s="24" t="str">
        <f aca="false">IF(G29="","",G29*'Booth Setup'!$C$8)</f>
        <v/>
      </c>
      <c r="I29" s="24" t="str">
        <f aca="false">IF(G29="","",G29*'Booth Setup'!$C$9)</f>
        <v/>
      </c>
      <c r="J29" s="24" t="str">
        <f aca="false">IF(G29="","",G29-H29-I29-D29)</f>
        <v/>
      </c>
      <c r="K29" s="25" t="str">
        <f aca="true">IF(C29="","",IF(F29="",TODAY(),F29)-C29)</f>
        <v/>
      </c>
      <c r="L29" s="26" t="str">
        <f aca="false">IF(A29="","",IF(G29&lt;&gt;"","Sold",IF(K29&gt;'Booth Setup'!$C$12,"STALE - mark down","In booth")))</f>
        <v/>
      </c>
      <c r="M29" s="27" t="str">
        <f aca="false">IF(F29="","",DATE(YEAR(F29),MONTH(F29),1))</f>
        <v/>
      </c>
    </row>
    <row r="30" customFormat="false" ht="15" hidden="false" customHeight="false" outlineLevel="0" collapsed="false">
      <c r="A30" s="21"/>
      <c r="B30" s="21"/>
      <c r="C30" s="22"/>
      <c r="D30" s="23"/>
      <c r="E30" s="23"/>
      <c r="F30" s="22"/>
      <c r="G30" s="23"/>
      <c r="H30" s="24" t="str">
        <f aca="false">IF(G30="","",G30*'Booth Setup'!$C$8)</f>
        <v/>
      </c>
      <c r="I30" s="24" t="str">
        <f aca="false">IF(G30="","",G30*'Booth Setup'!$C$9)</f>
        <v/>
      </c>
      <c r="J30" s="24" t="str">
        <f aca="false">IF(G30="","",G30-H30-I30-D30)</f>
        <v/>
      </c>
      <c r="K30" s="25" t="str">
        <f aca="true">IF(C30="","",IF(F30="",TODAY(),F30)-C30)</f>
        <v/>
      </c>
      <c r="L30" s="26" t="str">
        <f aca="false">IF(A30="","",IF(G30&lt;&gt;"","Sold",IF(K30&gt;'Booth Setup'!$C$12,"STALE - mark down","In booth")))</f>
        <v/>
      </c>
      <c r="M30" s="27" t="str">
        <f aca="false">IF(F30="","",DATE(YEAR(F30),MONTH(F30),1))</f>
        <v/>
      </c>
    </row>
    <row r="31" customFormat="false" ht="15" hidden="false" customHeight="false" outlineLevel="0" collapsed="false">
      <c r="A31" s="21"/>
      <c r="B31" s="21"/>
      <c r="C31" s="22"/>
      <c r="D31" s="23"/>
      <c r="E31" s="23"/>
      <c r="F31" s="22"/>
      <c r="G31" s="23"/>
      <c r="H31" s="24" t="str">
        <f aca="false">IF(G31="","",G31*'Booth Setup'!$C$8)</f>
        <v/>
      </c>
      <c r="I31" s="24" t="str">
        <f aca="false">IF(G31="","",G31*'Booth Setup'!$C$9)</f>
        <v/>
      </c>
      <c r="J31" s="24" t="str">
        <f aca="false">IF(G31="","",G31-H31-I31-D31)</f>
        <v/>
      </c>
      <c r="K31" s="25" t="str">
        <f aca="true">IF(C31="","",IF(F31="",TODAY(),F31)-C31)</f>
        <v/>
      </c>
      <c r="L31" s="26" t="str">
        <f aca="false">IF(A31="","",IF(G31&lt;&gt;"","Sold",IF(K31&gt;'Booth Setup'!$C$12,"STALE - mark down","In booth")))</f>
        <v/>
      </c>
      <c r="M31" s="27" t="str">
        <f aca="false">IF(F31="","",DATE(YEAR(F31),MONTH(F31),1))</f>
        <v/>
      </c>
    </row>
    <row r="32" customFormat="false" ht="15" hidden="false" customHeight="false" outlineLevel="0" collapsed="false">
      <c r="A32" s="21"/>
      <c r="B32" s="21"/>
      <c r="C32" s="22"/>
      <c r="D32" s="23"/>
      <c r="E32" s="23"/>
      <c r="F32" s="22"/>
      <c r="G32" s="23"/>
      <c r="H32" s="24" t="str">
        <f aca="false">IF(G32="","",G32*'Booth Setup'!$C$8)</f>
        <v/>
      </c>
      <c r="I32" s="24" t="str">
        <f aca="false">IF(G32="","",G32*'Booth Setup'!$C$9)</f>
        <v/>
      </c>
      <c r="J32" s="24" t="str">
        <f aca="false">IF(G32="","",G32-H32-I32-D32)</f>
        <v/>
      </c>
      <c r="K32" s="25" t="str">
        <f aca="true">IF(C32="","",IF(F32="",TODAY(),F32)-C32)</f>
        <v/>
      </c>
      <c r="L32" s="26" t="str">
        <f aca="false">IF(A32="","",IF(G32&lt;&gt;"","Sold",IF(K32&gt;'Booth Setup'!$C$12,"STALE - mark down","In booth")))</f>
        <v/>
      </c>
      <c r="M32" s="27" t="str">
        <f aca="false">IF(F32="","",DATE(YEAR(F32),MONTH(F32),1))</f>
        <v/>
      </c>
    </row>
    <row r="33" customFormat="false" ht="15" hidden="false" customHeight="false" outlineLevel="0" collapsed="false">
      <c r="A33" s="21"/>
      <c r="B33" s="21"/>
      <c r="C33" s="22"/>
      <c r="D33" s="23"/>
      <c r="E33" s="23"/>
      <c r="F33" s="22"/>
      <c r="G33" s="23"/>
      <c r="H33" s="24" t="str">
        <f aca="false">IF(G33="","",G33*'Booth Setup'!$C$8)</f>
        <v/>
      </c>
      <c r="I33" s="24" t="str">
        <f aca="false">IF(G33="","",G33*'Booth Setup'!$C$9)</f>
        <v/>
      </c>
      <c r="J33" s="24" t="str">
        <f aca="false">IF(G33="","",G33-H33-I33-D33)</f>
        <v/>
      </c>
      <c r="K33" s="25" t="str">
        <f aca="true">IF(C33="","",IF(F33="",TODAY(),F33)-C33)</f>
        <v/>
      </c>
      <c r="L33" s="26" t="str">
        <f aca="false">IF(A33="","",IF(G33&lt;&gt;"","Sold",IF(K33&gt;'Booth Setup'!$C$12,"STALE - mark down","In booth")))</f>
        <v/>
      </c>
      <c r="M33" s="27" t="str">
        <f aca="false">IF(F33="","",DATE(YEAR(F33),MONTH(F33),1))</f>
        <v/>
      </c>
    </row>
    <row r="34" customFormat="false" ht="15" hidden="false" customHeight="false" outlineLevel="0" collapsed="false">
      <c r="A34" s="21"/>
      <c r="B34" s="21"/>
      <c r="C34" s="22"/>
      <c r="D34" s="23"/>
      <c r="E34" s="23"/>
      <c r="F34" s="22"/>
      <c r="G34" s="23"/>
      <c r="H34" s="24" t="str">
        <f aca="false">IF(G34="","",G34*'Booth Setup'!$C$8)</f>
        <v/>
      </c>
      <c r="I34" s="24" t="str">
        <f aca="false">IF(G34="","",G34*'Booth Setup'!$C$9)</f>
        <v/>
      </c>
      <c r="J34" s="24" t="str">
        <f aca="false">IF(G34="","",G34-H34-I34-D34)</f>
        <v/>
      </c>
      <c r="K34" s="25" t="str">
        <f aca="true">IF(C34="","",IF(F34="",TODAY(),F34)-C34)</f>
        <v/>
      </c>
      <c r="L34" s="26" t="str">
        <f aca="false">IF(A34="","",IF(G34&lt;&gt;"","Sold",IF(K34&gt;'Booth Setup'!$C$12,"STALE - mark down","In booth")))</f>
        <v/>
      </c>
      <c r="M34" s="27" t="str">
        <f aca="false">IF(F34="","",DATE(YEAR(F34),MONTH(F34),1))</f>
        <v/>
      </c>
    </row>
    <row r="35" customFormat="false" ht="15" hidden="false" customHeight="false" outlineLevel="0" collapsed="false">
      <c r="A35" s="21"/>
      <c r="B35" s="21"/>
      <c r="C35" s="22"/>
      <c r="D35" s="23"/>
      <c r="E35" s="23"/>
      <c r="F35" s="22"/>
      <c r="G35" s="23"/>
      <c r="H35" s="24" t="str">
        <f aca="false">IF(G35="","",G35*'Booth Setup'!$C$8)</f>
        <v/>
      </c>
      <c r="I35" s="24" t="str">
        <f aca="false">IF(G35="","",G35*'Booth Setup'!$C$9)</f>
        <v/>
      </c>
      <c r="J35" s="24" t="str">
        <f aca="false">IF(G35="","",G35-H35-I35-D35)</f>
        <v/>
      </c>
      <c r="K35" s="25" t="str">
        <f aca="true">IF(C35="","",IF(F35="",TODAY(),F35)-C35)</f>
        <v/>
      </c>
      <c r="L35" s="26" t="str">
        <f aca="false">IF(A35="","",IF(G35&lt;&gt;"","Sold",IF(K35&gt;'Booth Setup'!$C$12,"STALE - mark down","In booth")))</f>
        <v/>
      </c>
      <c r="M35" s="27" t="str">
        <f aca="false">IF(F35="","",DATE(YEAR(F35),MONTH(F35),1))</f>
        <v/>
      </c>
    </row>
    <row r="36" customFormat="false" ht="15" hidden="false" customHeight="false" outlineLevel="0" collapsed="false">
      <c r="A36" s="21"/>
      <c r="B36" s="21"/>
      <c r="C36" s="22"/>
      <c r="D36" s="23"/>
      <c r="E36" s="23"/>
      <c r="F36" s="22"/>
      <c r="G36" s="23"/>
      <c r="H36" s="24" t="str">
        <f aca="false">IF(G36="","",G36*'Booth Setup'!$C$8)</f>
        <v/>
      </c>
      <c r="I36" s="24" t="str">
        <f aca="false">IF(G36="","",G36*'Booth Setup'!$C$9)</f>
        <v/>
      </c>
      <c r="J36" s="24" t="str">
        <f aca="false">IF(G36="","",G36-H36-I36-D36)</f>
        <v/>
      </c>
      <c r="K36" s="25" t="str">
        <f aca="true">IF(C36="","",IF(F36="",TODAY(),F36)-C36)</f>
        <v/>
      </c>
      <c r="L36" s="26" t="str">
        <f aca="false">IF(A36="","",IF(G36&lt;&gt;"","Sold",IF(K36&gt;'Booth Setup'!$C$12,"STALE - mark down","In booth")))</f>
        <v/>
      </c>
      <c r="M36" s="27" t="str">
        <f aca="false">IF(F36="","",DATE(YEAR(F36),MONTH(F36),1))</f>
        <v/>
      </c>
    </row>
    <row r="37" customFormat="false" ht="15" hidden="false" customHeight="false" outlineLevel="0" collapsed="false">
      <c r="A37" s="21"/>
      <c r="B37" s="21"/>
      <c r="C37" s="22"/>
      <c r="D37" s="23"/>
      <c r="E37" s="23"/>
      <c r="F37" s="22"/>
      <c r="G37" s="23"/>
      <c r="H37" s="24" t="str">
        <f aca="false">IF(G37="","",G37*'Booth Setup'!$C$8)</f>
        <v/>
      </c>
      <c r="I37" s="24" t="str">
        <f aca="false">IF(G37="","",G37*'Booth Setup'!$C$9)</f>
        <v/>
      </c>
      <c r="J37" s="24" t="str">
        <f aca="false">IF(G37="","",G37-H37-I37-D37)</f>
        <v/>
      </c>
      <c r="K37" s="25" t="str">
        <f aca="true">IF(C37="","",IF(F37="",TODAY(),F37)-C37)</f>
        <v/>
      </c>
      <c r="L37" s="26" t="str">
        <f aca="false">IF(A37="","",IF(G37&lt;&gt;"","Sold",IF(K37&gt;'Booth Setup'!$C$12,"STALE - mark down","In booth")))</f>
        <v/>
      </c>
      <c r="M37" s="27" t="str">
        <f aca="false">IF(F37="","",DATE(YEAR(F37),MONTH(F37),1))</f>
        <v/>
      </c>
    </row>
    <row r="38" customFormat="false" ht="15" hidden="false" customHeight="false" outlineLevel="0" collapsed="false">
      <c r="A38" s="21"/>
      <c r="B38" s="21"/>
      <c r="C38" s="22"/>
      <c r="D38" s="23"/>
      <c r="E38" s="23"/>
      <c r="F38" s="22"/>
      <c r="G38" s="23"/>
      <c r="H38" s="24" t="str">
        <f aca="false">IF(G38="","",G38*'Booth Setup'!$C$8)</f>
        <v/>
      </c>
      <c r="I38" s="24" t="str">
        <f aca="false">IF(G38="","",G38*'Booth Setup'!$C$9)</f>
        <v/>
      </c>
      <c r="J38" s="24" t="str">
        <f aca="false">IF(G38="","",G38-H38-I38-D38)</f>
        <v/>
      </c>
      <c r="K38" s="25" t="str">
        <f aca="true">IF(C38="","",IF(F38="",TODAY(),F38)-C38)</f>
        <v/>
      </c>
      <c r="L38" s="26" t="str">
        <f aca="false">IF(A38="","",IF(G38&lt;&gt;"","Sold",IF(K38&gt;'Booth Setup'!$C$12,"STALE - mark down","In booth")))</f>
        <v/>
      </c>
      <c r="M38" s="27" t="str">
        <f aca="false">IF(F38="","",DATE(YEAR(F38),MONTH(F38),1))</f>
        <v/>
      </c>
    </row>
    <row r="39" customFormat="false" ht="15" hidden="false" customHeight="false" outlineLevel="0" collapsed="false">
      <c r="A39" s="21"/>
      <c r="B39" s="21"/>
      <c r="C39" s="22"/>
      <c r="D39" s="23"/>
      <c r="E39" s="23"/>
      <c r="F39" s="22"/>
      <c r="G39" s="23"/>
      <c r="H39" s="24" t="str">
        <f aca="false">IF(G39="","",G39*'Booth Setup'!$C$8)</f>
        <v/>
      </c>
      <c r="I39" s="24" t="str">
        <f aca="false">IF(G39="","",G39*'Booth Setup'!$C$9)</f>
        <v/>
      </c>
      <c r="J39" s="24" t="str">
        <f aca="false">IF(G39="","",G39-H39-I39-D39)</f>
        <v/>
      </c>
      <c r="K39" s="25" t="str">
        <f aca="true">IF(C39="","",IF(F39="",TODAY(),F39)-C39)</f>
        <v/>
      </c>
      <c r="L39" s="26" t="str">
        <f aca="false">IF(A39="","",IF(G39&lt;&gt;"","Sold",IF(K39&gt;'Booth Setup'!$C$12,"STALE - mark down","In booth")))</f>
        <v/>
      </c>
      <c r="M39" s="27" t="str">
        <f aca="false">IF(F39="","",DATE(YEAR(F39),MONTH(F39),1))</f>
        <v/>
      </c>
    </row>
    <row r="40" customFormat="false" ht="15" hidden="false" customHeight="false" outlineLevel="0" collapsed="false">
      <c r="A40" s="21"/>
      <c r="B40" s="21"/>
      <c r="C40" s="22"/>
      <c r="D40" s="23"/>
      <c r="E40" s="23"/>
      <c r="F40" s="22"/>
      <c r="G40" s="23"/>
      <c r="H40" s="24" t="str">
        <f aca="false">IF(G40="","",G40*'Booth Setup'!$C$8)</f>
        <v/>
      </c>
      <c r="I40" s="24" t="str">
        <f aca="false">IF(G40="","",G40*'Booth Setup'!$C$9)</f>
        <v/>
      </c>
      <c r="J40" s="24" t="str">
        <f aca="false">IF(G40="","",G40-H40-I40-D40)</f>
        <v/>
      </c>
      <c r="K40" s="25" t="str">
        <f aca="true">IF(C40="","",IF(F40="",TODAY(),F40)-C40)</f>
        <v/>
      </c>
      <c r="L40" s="26" t="str">
        <f aca="false">IF(A40="","",IF(G40&lt;&gt;"","Sold",IF(K40&gt;'Booth Setup'!$C$12,"STALE - mark down","In booth")))</f>
        <v/>
      </c>
      <c r="M40" s="27" t="str">
        <f aca="false">IF(F40="","",DATE(YEAR(F40),MONTH(F40),1))</f>
        <v/>
      </c>
    </row>
    <row r="41" customFormat="false" ht="15" hidden="false" customHeight="false" outlineLevel="0" collapsed="false">
      <c r="A41" s="21"/>
      <c r="B41" s="21"/>
      <c r="C41" s="22"/>
      <c r="D41" s="23"/>
      <c r="E41" s="23"/>
      <c r="F41" s="22"/>
      <c r="G41" s="23"/>
      <c r="H41" s="24" t="str">
        <f aca="false">IF(G41="","",G41*'Booth Setup'!$C$8)</f>
        <v/>
      </c>
      <c r="I41" s="24" t="str">
        <f aca="false">IF(G41="","",G41*'Booth Setup'!$C$9)</f>
        <v/>
      </c>
      <c r="J41" s="24" t="str">
        <f aca="false">IF(G41="","",G41-H41-I41-D41)</f>
        <v/>
      </c>
      <c r="K41" s="25" t="str">
        <f aca="true">IF(C41="","",IF(F41="",TODAY(),F41)-C41)</f>
        <v/>
      </c>
      <c r="L41" s="26" t="str">
        <f aca="false">IF(A41="","",IF(G41&lt;&gt;"","Sold",IF(K41&gt;'Booth Setup'!$C$12,"STALE - mark down","In booth")))</f>
        <v/>
      </c>
      <c r="M41" s="27" t="str">
        <f aca="false">IF(F41="","",DATE(YEAR(F41),MONTH(F41),1))</f>
        <v/>
      </c>
    </row>
    <row r="42" customFormat="false" ht="15" hidden="false" customHeight="false" outlineLevel="0" collapsed="false">
      <c r="A42" s="21"/>
      <c r="B42" s="21"/>
      <c r="C42" s="22"/>
      <c r="D42" s="23"/>
      <c r="E42" s="23"/>
      <c r="F42" s="22"/>
      <c r="G42" s="23"/>
      <c r="H42" s="24" t="str">
        <f aca="false">IF(G42="","",G42*'Booth Setup'!$C$8)</f>
        <v/>
      </c>
      <c r="I42" s="24" t="str">
        <f aca="false">IF(G42="","",G42*'Booth Setup'!$C$9)</f>
        <v/>
      </c>
      <c r="J42" s="24" t="str">
        <f aca="false">IF(G42="","",G42-H42-I42-D42)</f>
        <v/>
      </c>
      <c r="K42" s="25" t="str">
        <f aca="true">IF(C42="","",IF(F42="",TODAY(),F42)-C42)</f>
        <v/>
      </c>
      <c r="L42" s="26" t="str">
        <f aca="false">IF(A42="","",IF(G42&lt;&gt;"","Sold",IF(K42&gt;'Booth Setup'!$C$12,"STALE - mark down","In booth")))</f>
        <v/>
      </c>
      <c r="M42" s="27" t="str">
        <f aca="false">IF(F42="","",DATE(YEAR(F42),MONTH(F42),1))</f>
        <v/>
      </c>
    </row>
    <row r="43" customFormat="false" ht="15" hidden="false" customHeight="false" outlineLevel="0" collapsed="false">
      <c r="A43" s="21"/>
      <c r="B43" s="21"/>
      <c r="C43" s="22"/>
      <c r="D43" s="23"/>
      <c r="E43" s="23"/>
      <c r="F43" s="22"/>
      <c r="G43" s="23"/>
      <c r="H43" s="24" t="str">
        <f aca="false">IF(G43="","",G43*'Booth Setup'!$C$8)</f>
        <v/>
      </c>
      <c r="I43" s="24" t="str">
        <f aca="false">IF(G43="","",G43*'Booth Setup'!$C$9)</f>
        <v/>
      </c>
      <c r="J43" s="24" t="str">
        <f aca="false">IF(G43="","",G43-H43-I43-D43)</f>
        <v/>
      </c>
      <c r="K43" s="25" t="str">
        <f aca="true">IF(C43="","",IF(F43="",TODAY(),F43)-C43)</f>
        <v/>
      </c>
      <c r="L43" s="26" t="str">
        <f aca="false">IF(A43="","",IF(G43&lt;&gt;"","Sold",IF(K43&gt;'Booth Setup'!$C$12,"STALE - mark down","In booth")))</f>
        <v/>
      </c>
      <c r="M43" s="27" t="str">
        <f aca="false">IF(F43="","",DATE(YEAR(F43),MONTH(F43),1))</f>
        <v/>
      </c>
    </row>
    <row r="44" customFormat="false" ht="15" hidden="false" customHeight="false" outlineLevel="0" collapsed="false">
      <c r="A44" s="21"/>
      <c r="B44" s="21"/>
      <c r="C44" s="22"/>
      <c r="D44" s="23"/>
      <c r="E44" s="23"/>
      <c r="F44" s="22"/>
      <c r="G44" s="23"/>
      <c r="H44" s="24" t="str">
        <f aca="false">IF(G44="","",G44*'Booth Setup'!$C$8)</f>
        <v/>
      </c>
      <c r="I44" s="24" t="str">
        <f aca="false">IF(G44="","",G44*'Booth Setup'!$C$9)</f>
        <v/>
      </c>
      <c r="J44" s="24" t="str">
        <f aca="false">IF(G44="","",G44-H44-I44-D44)</f>
        <v/>
      </c>
      <c r="K44" s="25" t="str">
        <f aca="true">IF(C44="","",IF(F44="",TODAY(),F44)-C44)</f>
        <v/>
      </c>
      <c r="L44" s="26" t="str">
        <f aca="false">IF(A44="","",IF(G44&lt;&gt;"","Sold",IF(K44&gt;'Booth Setup'!$C$12,"STALE - mark down","In booth")))</f>
        <v/>
      </c>
      <c r="M44" s="27" t="str">
        <f aca="false">IF(F44="","",DATE(YEAR(F44),MONTH(F44),1))</f>
        <v/>
      </c>
    </row>
    <row r="45" customFormat="false" ht="15" hidden="false" customHeight="false" outlineLevel="0" collapsed="false">
      <c r="A45" s="21"/>
      <c r="B45" s="21"/>
      <c r="C45" s="22"/>
      <c r="D45" s="23"/>
      <c r="E45" s="23"/>
      <c r="F45" s="22"/>
      <c r="G45" s="23"/>
      <c r="H45" s="24" t="str">
        <f aca="false">IF(G45="","",G45*'Booth Setup'!$C$8)</f>
        <v/>
      </c>
      <c r="I45" s="24" t="str">
        <f aca="false">IF(G45="","",G45*'Booth Setup'!$C$9)</f>
        <v/>
      </c>
      <c r="J45" s="24" t="str">
        <f aca="false">IF(G45="","",G45-H45-I45-D45)</f>
        <v/>
      </c>
      <c r="K45" s="25" t="str">
        <f aca="true">IF(C45="","",IF(F45="",TODAY(),F45)-C45)</f>
        <v/>
      </c>
      <c r="L45" s="26" t="str">
        <f aca="false">IF(A45="","",IF(G45&lt;&gt;"","Sold",IF(K45&gt;'Booth Setup'!$C$12,"STALE - mark down","In booth")))</f>
        <v/>
      </c>
      <c r="M45" s="27" t="str">
        <f aca="false">IF(F45="","",DATE(YEAR(F45),MONTH(F45),1))</f>
        <v/>
      </c>
    </row>
    <row r="46" customFormat="false" ht="15" hidden="false" customHeight="false" outlineLevel="0" collapsed="false">
      <c r="A46" s="21"/>
      <c r="B46" s="21"/>
      <c r="C46" s="22"/>
      <c r="D46" s="23"/>
      <c r="E46" s="23"/>
      <c r="F46" s="22"/>
      <c r="G46" s="23"/>
      <c r="H46" s="24" t="str">
        <f aca="false">IF(G46="","",G46*'Booth Setup'!$C$8)</f>
        <v/>
      </c>
      <c r="I46" s="24" t="str">
        <f aca="false">IF(G46="","",G46*'Booth Setup'!$C$9)</f>
        <v/>
      </c>
      <c r="J46" s="24" t="str">
        <f aca="false">IF(G46="","",G46-H46-I46-D46)</f>
        <v/>
      </c>
      <c r="K46" s="25" t="str">
        <f aca="true">IF(C46="","",IF(F46="",TODAY(),F46)-C46)</f>
        <v/>
      </c>
      <c r="L46" s="26" t="str">
        <f aca="false">IF(A46="","",IF(G46&lt;&gt;"","Sold",IF(K46&gt;'Booth Setup'!$C$12,"STALE - mark down","In booth")))</f>
        <v/>
      </c>
      <c r="M46" s="27" t="str">
        <f aca="false">IF(F46="","",DATE(YEAR(F46),MONTH(F46),1))</f>
        <v/>
      </c>
    </row>
    <row r="47" customFormat="false" ht="15" hidden="false" customHeight="false" outlineLevel="0" collapsed="false">
      <c r="A47" s="21"/>
      <c r="B47" s="21"/>
      <c r="C47" s="22"/>
      <c r="D47" s="23"/>
      <c r="E47" s="23"/>
      <c r="F47" s="22"/>
      <c r="G47" s="23"/>
      <c r="H47" s="24" t="str">
        <f aca="false">IF(G47="","",G47*'Booth Setup'!$C$8)</f>
        <v/>
      </c>
      <c r="I47" s="24" t="str">
        <f aca="false">IF(G47="","",G47*'Booth Setup'!$C$9)</f>
        <v/>
      </c>
      <c r="J47" s="24" t="str">
        <f aca="false">IF(G47="","",G47-H47-I47-D47)</f>
        <v/>
      </c>
      <c r="K47" s="25" t="str">
        <f aca="true">IF(C47="","",IF(F47="",TODAY(),F47)-C47)</f>
        <v/>
      </c>
      <c r="L47" s="26" t="str">
        <f aca="false">IF(A47="","",IF(G47&lt;&gt;"","Sold",IF(K47&gt;'Booth Setup'!$C$12,"STALE - mark down","In booth")))</f>
        <v/>
      </c>
      <c r="M47" s="27" t="str">
        <f aca="false">IF(F47="","",DATE(YEAR(F47),MONTH(F47),1))</f>
        <v/>
      </c>
    </row>
    <row r="48" customFormat="false" ht="15" hidden="false" customHeight="false" outlineLevel="0" collapsed="false">
      <c r="A48" s="21"/>
      <c r="B48" s="21"/>
      <c r="C48" s="22"/>
      <c r="D48" s="23"/>
      <c r="E48" s="23"/>
      <c r="F48" s="22"/>
      <c r="G48" s="23"/>
      <c r="H48" s="24" t="str">
        <f aca="false">IF(G48="","",G48*'Booth Setup'!$C$8)</f>
        <v/>
      </c>
      <c r="I48" s="24" t="str">
        <f aca="false">IF(G48="","",G48*'Booth Setup'!$C$9)</f>
        <v/>
      </c>
      <c r="J48" s="24" t="str">
        <f aca="false">IF(G48="","",G48-H48-I48-D48)</f>
        <v/>
      </c>
      <c r="K48" s="25" t="str">
        <f aca="true">IF(C48="","",IF(F48="",TODAY(),F48)-C48)</f>
        <v/>
      </c>
      <c r="L48" s="26" t="str">
        <f aca="false">IF(A48="","",IF(G48&lt;&gt;"","Sold",IF(K48&gt;'Booth Setup'!$C$12,"STALE - mark down","In booth")))</f>
        <v/>
      </c>
      <c r="M48" s="27" t="str">
        <f aca="false">IF(F48="","",DATE(YEAR(F48),MONTH(F48),1))</f>
        <v/>
      </c>
    </row>
    <row r="49" customFormat="false" ht="15" hidden="false" customHeight="false" outlineLevel="0" collapsed="false">
      <c r="A49" s="21"/>
      <c r="B49" s="21"/>
      <c r="C49" s="22"/>
      <c r="D49" s="23"/>
      <c r="E49" s="23"/>
      <c r="F49" s="22"/>
      <c r="G49" s="23"/>
      <c r="H49" s="24" t="str">
        <f aca="false">IF(G49="","",G49*'Booth Setup'!$C$8)</f>
        <v/>
      </c>
      <c r="I49" s="24" t="str">
        <f aca="false">IF(G49="","",G49*'Booth Setup'!$C$9)</f>
        <v/>
      </c>
      <c r="J49" s="24" t="str">
        <f aca="false">IF(G49="","",G49-H49-I49-D49)</f>
        <v/>
      </c>
      <c r="K49" s="25" t="str">
        <f aca="true">IF(C49="","",IF(F49="",TODAY(),F49)-C49)</f>
        <v/>
      </c>
      <c r="L49" s="26" t="str">
        <f aca="false">IF(A49="","",IF(G49&lt;&gt;"","Sold",IF(K49&gt;'Booth Setup'!$C$12,"STALE - mark down","In booth")))</f>
        <v/>
      </c>
      <c r="M49" s="27" t="str">
        <f aca="false">IF(F49="","",DATE(YEAR(F49),MONTH(F49),1))</f>
        <v/>
      </c>
    </row>
    <row r="50" customFormat="false" ht="15" hidden="false" customHeight="false" outlineLevel="0" collapsed="false">
      <c r="A50" s="21"/>
      <c r="B50" s="21"/>
      <c r="C50" s="22"/>
      <c r="D50" s="23"/>
      <c r="E50" s="23"/>
      <c r="F50" s="22"/>
      <c r="G50" s="23"/>
      <c r="H50" s="24" t="str">
        <f aca="false">IF(G50="","",G50*'Booth Setup'!$C$8)</f>
        <v/>
      </c>
      <c r="I50" s="24" t="str">
        <f aca="false">IF(G50="","",G50*'Booth Setup'!$C$9)</f>
        <v/>
      </c>
      <c r="J50" s="24" t="str">
        <f aca="false">IF(G50="","",G50-H50-I50-D50)</f>
        <v/>
      </c>
      <c r="K50" s="25" t="str">
        <f aca="true">IF(C50="","",IF(F50="",TODAY(),F50)-C50)</f>
        <v/>
      </c>
      <c r="L50" s="26" t="str">
        <f aca="false">IF(A50="","",IF(G50&lt;&gt;"","Sold",IF(K50&gt;'Booth Setup'!$C$12,"STALE - mark down","In booth")))</f>
        <v/>
      </c>
      <c r="M50" s="27" t="str">
        <f aca="false">IF(F50="","",DATE(YEAR(F50),MONTH(F50),1))</f>
        <v/>
      </c>
    </row>
    <row r="51" customFormat="false" ht="15" hidden="false" customHeight="false" outlineLevel="0" collapsed="false">
      <c r="A51" s="21"/>
      <c r="B51" s="21"/>
      <c r="C51" s="22"/>
      <c r="D51" s="23"/>
      <c r="E51" s="23"/>
      <c r="F51" s="22"/>
      <c r="G51" s="23"/>
      <c r="H51" s="24" t="str">
        <f aca="false">IF(G51="","",G51*'Booth Setup'!$C$8)</f>
        <v/>
      </c>
      <c r="I51" s="24" t="str">
        <f aca="false">IF(G51="","",G51*'Booth Setup'!$C$9)</f>
        <v/>
      </c>
      <c r="J51" s="24" t="str">
        <f aca="false">IF(G51="","",G51-H51-I51-D51)</f>
        <v/>
      </c>
      <c r="K51" s="25" t="str">
        <f aca="true">IF(C51="","",IF(F51="",TODAY(),F51)-C51)</f>
        <v/>
      </c>
      <c r="L51" s="26" t="str">
        <f aca="false">IF(A51="","",IF(G51&lt;&gt;"","Sold",IF(K51&gt;'Booth Setup'!$C$12,"STALE - mark down","In booth")))</f>
        <v/>
      </c>
      <c r="M51" s="27" t="str">
        <f aca="false">IF(F51="","",DATE(YEAR(F51),MONTH(F51),1))</f>
        <v/>
      </c>
    </row>
    <row r="52" customFormat="false" ht="15" hidden="false" customHeight="false" outlineLevel="0" collapsed="false">
      <c r="A52" s="21"/>
      <c r="B52" s="21"/>
      <c r="C52" s="22"/>
      <c r="D52" s="23"/>
      <c r="E52" s="23"/>
      <c r="F52" s="22"/>
      <c r="G52" s="23"/>
      <c r="H52" s="24" t="str">
        <f aca="false">IF(G52="","",G52*'Booth Setup'!$C$8)</f>
        <v/>
      </c>
      <c r="I52" s="24" t="str">
        <f aca="false">IF(G52="","",G52*'Booth Setup'!$C$9)</f>
        <v/>
      </c>
      <c r="J52" s="24" t="str">
        <f aca="false">IF(G52="","",G52-H52-I52-D52)</f>
        <v/>
      </c>
      <c r="K52" s="25" t="str">
        <f aca="true">IF(C52="","",IF(F52="",TODAY(),F52)-C52)</f>
        <v/>
      </c>
      <c r="L52" s="26" t="str">
        <f aca="false">IF(A52="","",IF(G52&lt;&gt;"","Sold",IF(K52&gt;'Booth Setup'!$C$12,"STALE - mark down","In booth")))</f>
        <v/>
      </c>
      <c r="M52" s="27" t="str">
        <f aca="false">IF(F52="","",DATE(YEAR(F52),MONTH(F52),1))</f>
        <v/>
      </c>
    </row>
    <row r="53" customFormat="false" ht="15" hidden="false" customHeight="false" outlineLevel="0" collapsed="false">
      <c r="A53" s="21"/>
      <c r="B53" s="21"/>
      <c r="C53" s="22"/>
      <c r="D53" s="23"/>
      <c r="E53" s="23"/>
      <c r="F53" s="22"/>
      <c r="G53" s="23"/>
      <c r="H53" s="24" t="str">
        <f aca="false">IF(G53="","",G53*'Booth Setup'!$C$8)</f>
        <v/>
      </c>
      <c r="I53" s="24" t="str">
        <f aca="false">IF(G53="","",G53*'Booth Setup'!$C$9)</f>
        <v/>
      </c>
      <c r="J53" s="24" t="str">
        <f aca="false">IF(G53="","",G53-H53-I53-D53)</f>
        <v/>
      </c>
      <c r="K53" s="25" t="str">
        <f aca="true">IF(C53="","",IF(F53="",TODAY(),F53)-C53)</f>
        <v/>
      </c>
      <c r="L53" s="26" t="str">
        <f aca="false">IF(A53="","",IF(G53&lt;&gt;"","Sold",IF(K53&gt;'Booth Setup'!$C$12,"STALE - mark down","In booth")))</f>
        <v/>
      </c>
      <c r="M53" s="27" t="str">
        <f aca="false">IF(F53="","",DATE(YEAR(F53),MONTH(F53),1))</f>
        <v/>
      </c>
    </row>
    <row r="54" customFormat="false" ht="15" hidden="false" customHeight="false" outlineLevel="0" collapsed="false">
      <c r="A54" s="21"/>
      <c r="B54" s="21"/>
      <c r="C54" s="22"/>
      <c r="D54" s="23"/>
      <c r="E54" s="23"/>
      <c r="F54" s="22"/>
      <c r="G54" s="23"/>
      <c r="H54" s="24" t="str">
        <f aca="false">IF(G54="","",G54*'Booth Setup'!$C$8)</f>
        <v/>
      </c>
      <c r="I54" s="24" t="str">
        <f aca="false">IF(G54="","",G54*'Booth Setup'!$C$9)</f>
        <v/>
      </c>
      <c r="J54" s="24" t="str">
        <f aca="false">IF(G54="","",G54-H54-I54-D54)</f>
        <v/>
      </c>
      <c r="K54" s="25" t="str">
        <f aca="true">IF(C54="","",IF(F54="",TODAY(),F54)-C54)</f>
        <v/>
      </c>
      <c r="L54" s="26" t="str">
        <f aca="false">IF(A54="","",IF(G54&lt;&gt;"","Sold",IF(K54&gt;'Booth Setup'!$C$12,"STALE - mark down","In booth")))</f>
        <v/>
      </c>
      <c r="M54" s="27" t="str">
        <f aca="false">IF(F54="","",DATE(YEAR(F54),MONTH(F54),1))</f>
        <v/>
      </c>
    </row>
    <row r="55" customFormat="false" ht="15" hidden="false" customHeight="false" outlineLevel="0" collapsed="false">
      <c r="A55" s="21"/>
      <c r="B55" s="21"/>
      <c r="C55" s="22"/>
      <c r="D55" s="23"/>
      <c r="E55" s="23"/>
      <c r="F55" s="22"/>
      <c r="G55" s="23"/>
      <c r="H55" s="24" t="str">
        <f aca="false">IF(G55="","",G55*'Booth Setup'!$C$8)</f>
        <v/>
      </c>
      <c r="I55" s="24" t="str">
        <f aca="false">IF(G55="","",G55*'Booth Setup'!$C$9)</f>
        <v/>
      </c>
      <c r="J55" s="24" t="str">
        <f aca="false">IF(G55="","",G55-H55-I55-D55)</f>
        <v/>
      </c>
      <c r="K55" s="25" t="str">
        <f aca="true">IF(C55="","",IF(F55="",TODAY(),F55)-C55)</f>
        <v/>
      </c>
      <c r="L55" s="26" t="str">
        <f aca="false">IF(A55="","",IF(G55&lt;&gt;"","Sold",IF(K55&gt;'Booth Setup'!$C$12,"STALE - mark down","In booth")))</f>
        <v/>
      </c>
      <c r="M55" s="27" t="str">
        <f aca="false">IF(F55="","",DATE(YEAR(F55),MONTH(F55),1))</f>
        <v/>
      </c>
    </row>
    <row r="56" customFormat="false" ht="15" hidden="false" customHeight="false" outlineLevel="0" collapsed="false">
      <c r="A56" s="21"/>
      <c r="B56" s="21"/>
      <c r="C56" s="22"/>
      <c r="D56" s="23"/>
      <c r="E56" s="23"/>
      <c r="F56" s="22"/>
      <c r="G56" s="23"/>
      <c r="H56" s="24" t="str">
        <f aca="false">IF(G56="","",G56*'Booth Setup'!$C$8)</f>
        <v/>
      </c>
      <c r="I56" s="24" t="str">
        <f aca="false">IF(G56="","",G56*'Booth Setup'!$C$9)</f>
        <v/>
      </c>
      <c r="J56" s="24" t="str">
        <f aca="false">IF(G56="","",G56-H56-I56-D56)</f>
        <v/>
      </c>
      <c r="K56" s="25" t="str">
        <f aca="true">IF(C56="","",IF(F56="",TODAY(),F56)-C56)</f>
        <v/>
      </c>
      <c r="L56" s="26" t="str">
        <f aca="false">IF(A56="","",IF(G56&lt;&gt;"","Sold",IF(K56&gt;'Booth Setup'!$C$12,"STALE - mark down","In booth")))</f>
        <v/>
      </c>
      <c r="M56" s="27" t="str">
        <f aca="false">IF(F56="","",DATE(YEAR(F56),MONTH(F56),1))</f>
        <v/>
      </c>
    </row>
    <row r="57" customFormat="false" ht="15" hidden="false" customHeight="false" outlineLevel="0" collapsed="false">
      <c r="A57" s="21"/>
      <c r="B57" s="21"/>
      <c r="C57" s="22"/>
      <c r="D57" s="23"/>
      <c r="E57" s="23"/>
      <c r="F57" s="22"/>
      <c r="G57" s="23"/>
      <c r="H57" s="24" t="str">
        <f aca="false">IF(G57="","",G57*'Booth Setup'!$C$8)</f>
        <v/>
      </c>
      <c r="I57" s="24" t="str">
        <f aca="false">IF(G57="","",G57*'Booth Setup'!$C$9)</f>
        <v/>
      </c>
      <c r="J57" s="24" t="str">
        <f aca="false">IF(G57="","",G57-H57-I57-D57)</f>
        <v/>
      </c>
      <c r="K57" s="25" t="str">
        <f aca="true">IF(C57="","",IF(F57="",TODAY(),F57)-C57)</f>
        <v/>
      </c>
      <c r="L57" s="26" t="str">
        <f aca="false">IF(A57="","",IF(G57&lt;&gt;"","Sold",IF(K57&gt;'Booth Setup'!$C$12,"STALE - mark down","In booth")))</f>
        <v/>
      </c>
      <c r="M57" s="27" t="str">
        <f aca="false">IF(F57="","",DATE(YEAR(F57),MONTH(F57),1))</f>
        <v/>
      </c>
    </row>
    <row r="58" customFormat="false" ht="15" hidden="false" customHeight="false" outlineLevel="0" collapsed="false">
      <c r="A58" s="21"/>
      <c r="B58" s="21"/>
      <c r="C58" s="22"/>
      <c r="D58" s="23"/>
      <c r="E58" s="23"/>
      <c r="F58" s="22"/>
      <c r="G58" s="23"/>
      <c r="H58" s="24" t="str">
        <f aca="false">IF(G58="","",G58*'Booth Setup'!$C$8)</f>
        <v/>
      </c>
      <c r="I58" s="24" t="str">
        <f aca="false">IF(G58="","",G58*'Booth Setup'!$C$9)</f>
        <v/>
      </c>
      <c r="J58" s="24" t="str">
        <f aca="false">IF(G58="","",G58-H58-I58-D58)</f>
        <v/>
      </c>
      <c r="K58" s="25" t="str">
        <f aca="true">IF(C58="","",IF(F58="",TODAY(),F58)-C58)</f>
        <v/>
      </c>
      <c r="L58" s="26" t="str">
        <f aca="false">IF(A58="","",IF(G58&lt;&gt;"","Sold",IF(K58&gt;'Booth Setup'!$C$12,"STALE - mark down","In booth")))</f>
        <v/>
      </c>
      <c r="M58" s="27" t="str">
        <f aca="false">IF(F58="","",DATE(YEAR(F58),MONTH(F58),1))</f>
        <v/>
      </c>
    </row>
    <row r="59" customFormat="false" ht="15" hidden="false" customHeight="false" outlineLevel="0" collapsed="false">
      <c r="A59" s="21"/>
      <c r="B59" s="21"/>
      <c r="C59" s="22"/>
      <c r="D59" s="23"/>
      <c r="E59" s="23"/>
      <c r="F59" s="22"/>
      <c r="G59" s="23"/>
      <c r="H59" s="24" t="str">
        <f aca="false">IF(G59="","",G59*'Booth Setup'!$C$8)</f>
        <v/>
      </c>
      <c r="I59" s="24" t="str">
        <f aca="false">IF(G59="","",G59*'Booth Setup'!$C$9)</f>
        <v/>
      </c>
      <c r="J59" s="24" t="str">
        <f aca="false">IF(G59="","",G59-H59-I59-D59)</f>
        <v/>
      </c>
      <c r="K59" s="25" t="str">
        <f aca="true">IF(C59="","",IF(F59="",TODAY(),F59)-C59)</f>
        <v/>
      </c>
      <c r="L59" s="26" t="str">
        <f aca="false">IF(A59="","",IF(G59&lt;&gt;"","Sold",IF(K59&gt;'Booth Setup'!$C$12,"STALE - mark down","In booth")))</f>
        <v/>
      </c>
      <c r="M59" s="27" t="str">
        <f aca="false">IF(F59="","",DATE(YEAR(F59),MONTH(F59),1))</f>
        <v/>
      </c>
    </row>
    <row r="60" customFormat="false" ht="15" hidden="false" customHeight="false" outlineLevel="0" collapsed="false">
      <c r="A60" s="21"/>
      <c r="B60" s="21"/>
      <c r="C60" s="22"/>
      <c r="D60" s="23"/>
      <c r="E60" s="23"/>
      <c r="F60" s="22"/>
      <c r="G60" s="23"/>
      <c r="H60" s="24" t="str">
        <f aca="false">IF(G60="","",G60*'Booth Setup'!$C$8)</f>
        <v/>
      </c>
      <c r="I60" s="24" t="str">
        <f aca="false">IF(G60="","",G60*'Booth Setup'!$C$9)</f>
        <v/>
      </c>
      <c r="J60" s="24" t="str">
        <f aca="false">IF(G60="","",G60-H60-I60-D60)</f>
        <v/>
      </c>
      <c r="K60" s="25" t="str">
        <f aca="true">IF(C60="","",IF(F60="",TODAY(),F60)-C60)</f>
        <v/>
      </c>
      <c r="L60" s="26" t="str">
        <f aca="false">IF(A60="","",IF(G60&lt;&gt;"","Sold",IF(K60&gt;'Booth Setup'!$C$12,"STALE - mark down","In booth")))</f>
        <v/>
      </c>
      <c r="M60" s="27" t="str">
        <f aca="false">IF(F60="","",DATE(YEAR(F60),MONTH(F60),1))</f>
        <v/>
      </c>
    </row>
    <row r="61" customFormat="false" ht="15" hidden="false" customHeight="false" outlineLevel="0" collapsed="false">
      <c r="A61" s="21"/>
      <c r="B61" s="21"/>
      <c r="C61" s="22"/>
      <c r="D61" s="23"/>
      <c r="E61" s="23"/>
      <c r="F61" s="22"/>
      <c r="G61" s="23"/>
      <c r="H61" s="24" t="str">
        <f aca="false">IF(G61="","",G61*'Booth Setup'!$C$8)</f>
        <v/>
      </c>
      <c r="I61" s="24" t="str">
        <f aca="false">IF(G61="","",G61*'Booth Setup'!$C$9)</f>
        <v/>
      </c>
      <c r="J61" s="24" t="str">
        <f aca="false">IF(G61="","",G61-H61-I61-D61)</f>
        <v/>
      </c>
      <c r="K61" s="25" t="str">
        <f aca="true">IF(C61="","",IF(F61="",TODAY(),F61)-C61)</f>
        <v/>
      </c>
      <c r="L61" s="26" t="str">
        <f aca="false">IF(A61="","",IF(G61&lt;&gt;"","Sold",IF(K61&gt;'Booth Setup'!$C$12,"STALE - mark down","In booth")))</f>
        <v/>
      </c>
      <c r="M61" s="27" t="str">
        <f aca="false">IF(F61="","",DATE(YEAR(F61),MONTH(F61),1))</f>
        <v/>
      </c>
    </row>
    <row r="62" customFormat="false" ht="15" hidden="false" customHeight="false" outlineLevel="0" collapsed="false">
      <c r="A62" s="21"/>
      <c r="B62" s="21"/>
      <c r="C62" s="22"/>
      <c r="D62" s="23"/>
      <c r="E62" s="23"/>
      <c r="F62" s="22"/>
      <c r="G62" s="23"/>
      <c r="H62" s="24" t="str">
        <f aca="false">IF(G62="","",G62*'Booth Setup'!$C$8)</f>
        <v/>
      </c>
      <c r="I62" s="24" t="str">
        <f aca="false">IF(G62="","",G62*'Booth Setup'!$C$9)</f>
        <v/>
      </c>
      <c r="J62" s="24" t="str">
        <f aca="false">IF(G62="","",G62-H62-I62-D62)</f>
        <v/>
      </c>
      <c r="K62" s="25" t="str">
        <f aca="true">IF(C62="","",IF(F62="",TODAY(),F62)-C62)</f>
        <v/>
      </c>
      <c r="L62" s="26" t="str">
        <f aca="false">IF(A62="","",IF(G62&lt;&gt;"","Sold",IF(K62&gt;'Booth Setup'!$C$12,"STALE - mark down","In booth")))</f>
        <v/>
      </c>
      <c r="M62" s="27" t="str">
        <f aca="false">IF(F62="","",DATE(YEAR(F62),MONTH(F62),1))</f>
        <v/>
      </c>
    </row>
    <row r="63" customFormat="false" ht="15" hidden="false" customHeight="false" outlineLevel="0" collapsed="false">
      <c r="A63" s="21"/>
      <c r="B63" s="21"/>
      <c r="C63" s="22"/>
      <c r="D63" s="23"/>
      <c r="E63" s="23"/>
      <c r="F63" s="22"/>
      <c r="G63" s="23"/>
      <c r="H63" s="24" t="str">
        <f aca="false">IF(G63="","",G63*'Booth Setup'!$C$8)</f>
        <v/>
      </c>
      <c r="I63" s="24" t="str">
        <f aca="false">IF(G63="","",G63*'Booth Setup'!$C$9)</f>
        <v/>
      </c>
      <c r="J63" s="24" t="str">
        <f aca="false">IF(G63="","",G63-H63-I63-D63)</f>
        <v/>
      </c>
      <c r="K63" s="25" t="str">
        <f aca="true">IF(C63="","",IF(F63="",TODAY(),F63)-C63)</f>
        <v/>
      </c>
      <c r="L63" s="26" t="str">
        <f aca="false">IF(A63="","",IF(G63&lt;&gt;"","Sold",IF(K63&gt;'Booth Setup'!$C$12,"STALE - mark down","In booth")))</f>
        <v/>
      </c>
      <c r="M63" s="27" t="str">
        <f aca="false">IF(F63="","",DATE(YEAR(F63),MONTH(F63),1))</f>
        <v/>
      </c>
    </row>
    <row r="64" customFormat="false" ht="15" hidden="false" customHeight="false" outlineLevel="0" collapsed="false">
      <c r="A64" s="21"/>
      <c r="B64" s="21"/>
      <c r="C64" s="22"/>
      <c r="D64" s="23"/>
      <c r="E64" s="23"/>
      <c r="F64" s="22"/>
      <c r="G64" s="23"/>
      <c r="H64" s="24" t="str">
        <f aca="false">IF(G64="","",G64*'Booth Setup'!$C$8)</f>
        <v/>
      </c>
      <c r="I64" s="24" t="str">
        <f aca="false">IF(G64="","",G64*'Booth Setup'!$C$9)</f>
        <v/>
      </c>
      <c r="J64" s="24" t="str">
        <f aca="false">IF(G64="","",G64-H64-I64-D64)</f>
        <v/>
      </c>
      <c r="K64" s="25" t="str">
        <f aca="true">IF(C64="","",IF(F64="",TODAY(),F64)-C64)</f>
        <v/>
      </c>
      <c r="L64" s="26" t="str">
        <f aca="false">IF(A64="","",IF(G64&lt;&gt;"","Sold",IF(K64&gt;'Booth Setup'!$C$12,"STALE - mark down","In booth")))</f>
        <v/>
      </c>
      <c r="M64" s="27" t="str">
        <f aca="false">IF(F64="","",DATE(YEAR(F64),MONTH(F64),1))</f>
        <v/>
      </c>
    </row>
    <row r="65" customFormat="false" ht="15" hidden="false" customHeight="false" outlineLevel="0" collapsed="false">
      <c r="A65" s="21"/>
      <c r="B65" s="21"/>
      <c r="C65" s="22"/>
      <c r="D65" s="23"/>
      <c r="E65" s="23"/>
      <c r="F65" s="22"/>
      <c r="G65" s="23"/>
      <c r="H65" s="24" t="str">
        <f aca="false">IF(G65="","",G65*'Booth Setup'!$C$8)</f>
        <v/>
      </c>
      <c r="I65" s="24" t="str">
        <f aca="false">IF(G65="","",G65*'Booth Setup'!$C$9)</f>
        <v/>
      </c>
      <c r="J65" s="24" t="str">
        <f aca="false">IF(G65="","",G65-H65-I65-D65)</f>
        <v/>
      </c>
      <c r="K65" s="25" t="str">
        <f aca="true">IF(C65="","",IF(F65="",TODAY(),F65)-C65)</f>
        <v/>
      </c>
      <c r="L65" s="26" t="str">
        <f aca="false">IF(A65="","",IF(G65&lt;&gt;"","Sold",IF(K65&gt;'Booth Setup'!$C$12,"STALE - mark down","In booth")))</f>
        <v/>
      </c>
      <c r="M65" s="27" t="str">
        <f aca="false">IF(F65="","",DATE(YEAR(F65),MONTH(F65),1))</f>
        <v/>
      </c>
    </row>
    <row r="66" customFormat="false" ht="15" hidden="false" customHeight="false" outlineLevel="0" collapsed="false">
      <c r="A66" s="21"/>
      <c r="B66" s="21"/>
      <c r="C66" s="22"/>
      <c r="D66" s="23"/>
      <c r="E66" s="23"/>
      <c r="F66" s="22"/>
      <c r="G66" s="23"/>
      <c r="H66" s="24" t="str">
        <f aca="false">IF(G66="","",G66*'Booth Setup'!$C$8)</f>
        <v/>
      </c>
      <c r="I66" s="24" t="str">
        <f aca="false">IF(G66="","",G66*'Booth Setup'!$C$9)</f>
        <v/>
      </c>
      <c r="J66" s="24" t="str">
        <f aca="false">IF(G66="","",G66-H66-I66-D66)</f>
        <v/>
      </c>
      <c r="K66" s="25" t="str">
        <f aca="true">IF(C66="","",IF(F66="",TODAY(),F66)-C66)</f>
        <v/>
      </c>
      <c r="L66" s="26" t="str">
        <f aca="false">IF(A66="","",IF(G66&lt;&gt;"","Sold",IF(K66&gt;'Booth Setup'!$C$12,"STALE - mark down","In booth")))</f>
        <v/>
      </c>
      <c r="M66" s="27" t="str">
        <f aca="false">IF(F66="","",DATE(YEAR(F66),MONTH(F66),1))</f>
        <v/>
      </c>
    </row>
    <row r="67" customFormat="false" ht="15" hidden="false" customHeight="false" outlineLevel="0" collapsed="false">
      <c r="A67" s="21"/>
      <c r="B67" s="21"/>
      <c r="C67" s="22"/>
      <c r="D67" s="23"/>
      <c r="E67" s="23"/>
      <c r="F67" s="22"/>
      <c r="G67" s="23"/>
      <c r="H67" s="24" t="str">
        <f aca="false">IF(G67="","",G67*'Booth Setup'!$C$8)</f>
        <v/>
      </c>
      <c r="I67" s="24" t="str">
        <f aca="false">IF(G67="","",G67*'Booth Setup'!$C$9)</f>
        <v/>
      </c>
      <c r="J67" s="24" t="str">
        <f aca="false">IF(G67="","",G67-H67-I67-D67)</f>
        <v/>
      </c>
      <c r="K67" s="25" t="str">
        <f aca="true">IF(C67="","",IF(F67="",TODAY(),F67)-C67)</f>
        <v/>
      </c>
      <c r="L67" s="26" t="str">
        <f aca="false">IF(A67="","",IF(G67&lt;&gt;"","Sold",IF(K67&gt;'Booth Setup'!$C$12,"STALE - mark down","In booth")))</f>
        <v/>
      </c>
      <c r="M67" s="27" t="str">
        <f aca="false">IF(F67="","",DATE(YEAR(F67),MONTH(F67),1))</f>
        <v/>
      </c>
    </row>
    <row r="68" customFormat="false" ht="15" hidden="false" customHeight="false" outlineLevel="0" collapsed="false">
      <c r="A68" s="21"/>
      <c r="B68" s="21"/>
      <c r="C68" s="22"/>
      <c r="D68" s="23"/>
      <c r="E68" s="23"/>
      <c r="F68" s="22"/>
      <c r="G68" s="23"/>
      <c r="H68" s="24" t="str">
        <f aca="false">IF(G68="","",G68*'Booth Setup'!$C$8)</f>
        <v/>
      </c>
      <c r="I68" s="24" t="str">
        <f aca="false">IF(G68="","",G68*'Booth Setup'!$C$9)</f>
        <v/>
      </c>
      <c r="J68" s="24" t="str">
        <f aca="false">IF(G68="","",G68-H68-I68-D68)</f>
        <v/>
      </c>
      <c r="K68" s="25" t="str">
        <f aca="true">IF(C68="","",IF(F68="",TODAY(),F68)-C68)</f>
        <v/>
      </c>
      <c r="L68" s="26" t="str">
        <f aca="false">IF(A68="","",IF(G68&lt;&gt;"","Sold",IF(K68&gt;'Booth Setup'!$C$12,"STALE - mark down","In booth")))</f>
        <v/>
      </c>
      <c r="M68" s="27" t="str">
        <f aca="false">IF(F68="","",DATE(YEAR(F68),MONTH(F68),1))</f>
        <v/>
      </c>
    </row>
    <row r="69" customFormat="false" ht="15" hidden="false" customHeight="false" outlineLevel="0" collapsed="false">
      <c r="A69" s="21"/>
      <c r="B69" s="21"/>
      <c r="C69" s="22"/>
      <c r="D69" s="23"/>
      <c r="E69" s="23"/>
      <c r="F69" s="22"/>
      <c r="G69" s="23"/>
      <c r="H69" s="24" t="str">
        <f aca="false">IF(G69="","",G69*'Booth Setup'!$C$8)</f>
        <v/>
      </c>
      <c r="I69" s="24" t="str">
        <f aca="false">IF(G69="","",G69*'Booth Setup'!$C$9)</f>
        <v/>
      </c>
      <c r="J69" s="24" t="str">
        <f aca="false">IF(G69="","",G69-H69-I69-D69)</f>
        <v/>
      </c>
      <c r="K69" s="25" t="str">
        <f aca="true">IF(C69="","",IF(F69="",TODAY(),F69)-C69)</f>
        <v/>
      </c>
      <c r="L69" s="26" t="str">
        <f aca="false">IF(A69="","",IF(G69&lt;&gt;"","Sold",IF(K69&gt;'Booth Setup'!$C$12,"STALE - mark down","In booth")))</f>
        <v/>
      </c>
      <c r="M69" s="27" t="str">
        <f aca="false">IF(F69="","",DATE(YEAR(F69),MONTH(F69),1))</f>
        <v/>
      </c>
    </row>
    <row r="70" customFormat="false" ht="15" hidden="false" customHeight="false" outlineLevel="0" collapsed="false">
      <c r="A70" s="21"/>
      <c r="B70" s="21"/>
      <c r="C70" s="22"/>
      <c r="D70" s="23"/>
      <c r="E70" s="23"/>
      <c r="F70" s="22"/>
      <c r="G70" s="23"/>
      <c r="H70" s="24" t="str">
        <f aca="false">IF(G70="","",G70*'Booth Setup'!$C$8)</f>
        <v/>
      </c>
      <c r="I70" s="24" t="str">
        <f aca="false">IF(G70="","",G70*'Booth Setup'!$C$9)</f>
        <v/>
      </c>
      <c r="J70" s="24" t="str">
        <f aca="false">IF(G70="","",G70-H70-I70-D70)</f>
        <v/>
      </c>
      <c r="K70" s="25" t="str">
        <f aca="true">IF(C70="","",IF(F70="",TODAY(),F70)-C70)</f>
        <v/>
      </c>
      <c r="L70" s="26" t="str">
        <f aca="false">IF(A70="","",IF(G70&lt;&gt;"","Sold",IF(K70&gt;'Booth Setup'!$C$12,"STALE - mark down","In booth")))</f>
        <v/>
      </c>
      <c r="M70" s="27" t="str">
        <f aca="false">IF(F70="","",DATE(YEAR(F70),MONTH(F70),1))</f>
        <v/>
      </c>
    </row>
    <row r="71" customFormat="false" ht="15" hidden="false" customHeight="false" outlineLevel="0" collapsed="false">
      <c r="A71" s="21"/>
      <c r="B71" s="21"/>
      <c r="C71" s="22"/>
      <c r="D71" s="23"/>
      <c r="E71" s="23"/>
      <c r="F71" s="22"/>
      <c r="G71" s="23"/>
      <c r="H71" s="24" t="str">
        <f aca="false">IF(G71="","",G71*'Booth Setup'!$C$8)</f>
        <v/>
      </c>
      <c r="I71" s="24" t="str">
        <f aca="false">IF(G71="","",G71*'Booth Setup'!$C$9)</f>
        <v/>
      </c>
      <c r="J71" s="24" t="str">
        <f aca="false">IF(G71="","",G71-H71-I71-D71)</f>
        <v/>
      </c>
      <c r="K71" s="25" t="str">
        <f aca="true">IF(C71="","",IF(F71="",TODAY(),F71)-C71)</f>
        <v/>
      </c>
      <c r="L71" s="26" t="str">
        <f aca="false">IF(A71="","",IF(G71&lt;&gt;"","Sold",IF(K71&gt;'Booth Setup'!$C$12,"STALE - mark down","In booth")))</f>
        <v/>
      </c>
      <c r="M71" s="27" t="str">
        <f aca="false">IF(F71="","",DATE(YEAR(F71),MONTH(F71),1))</f>
        <v/>
      </c>
    </row>
    <row r="72" customFormat="false" ht="15" hidden="false" customHeight="false" outlineLevel="0" collapsed="false">
      <c r="A72" s="21"/>
      <c r="B72" s="21"/>
      <c r="C72" s="22"/>
      <c r="D72" s="23"/>
      <c r="E72" s="23"/>
      <c r="F72" s="22"/>
      <c r="G72" s="23"/>
      <c r="H72" s="24" t="str">
        <f aca="false">IF(G72="","",G72*'Booth Setup'!$C$8)</f>
        <v/>
      </c>
      <c r="I72" s="24" t="str">
        <f aca="false">IF(G72="","",G72*'Booth Setup'!$C$9)</f>
        <v/>
      </c>
      <c r="J72" s="24" t="str">
        <f aca="false">IF(G72="","",G72-H72-I72-D72)</f>
        <v/>
      </c>
      <c r="K72" s="25" t="str">
        <f aca="true">IF(C72="","",IF(F72="",TODAY(),F72)-C72)</f>
        <v/>
      </c>
      <c r="L72" s="26" t="str">
        <f aca="false">IF(A72="","",IF(G72&lt;&gt;"","Sold",IF(K72&gt;'Booth Setup'!$C$12,"STALE - mark down","In booth")))</f>
        <v/>
      </c>
      <c r="M72" s="27" t="str">
        <f aca="false">IF(F72="","",DATE(YEAR(F72),MONTH(F72),1))</f>
        <v/>
      </c>
    </row>
    <row r="73" customFormat="false" ht="15" hidden="false" customHeight="false" outlineLevel="0" collapsed="false">
      <c r="A73" s="21"/>
      <c r="B73" s="21"/>
      <c r="C73" s="22"/>
      <c r="D73" s="23"/>
      <c r="E73" s="23"/>
      <c r="F73" s="22"/>
      <c r="G73" s="23"/>
      <c r="H73" s="24" t="str">
        <f aca="false">IF(G73="","",G73*'Booth Setup'!$C$8)</f>
        <v/>
      </c>
      <c r="I73" s="24" t="str">
        <f aca="false">IF(G73="","",G73*'Booth Setup'!$C$9)</f>
        <v/>
      </c>
      <c r="J73" s="24" t="str">
        <f aca="false">IF(G73="","",G73-H73-I73-D73)</f>
        <v/>
      </c>
      <c r="K73" s="25" t="str">
        <f aca="true">IF(C73="","",IF(F73="",TODAY(),F73)-C73)</f>
        <v/>
      </c>
      <c r="L73" s="26" t="str">
        <f aca="false">IF(A73="","",IF(G73&lt;&gt;"","Sold",IF(K73&gt;'Booth Setup'!$C$12,"STALE - mark down","In booth")))</f>
        <v/>
      </c>
      <c r="M73" s="27" t="str">
        <f aca="false">IF(F73="","",DATE(YEAR(F73),MONTH(F73),1))</f>
        <v/>
      </c>
    </row>
    <row r="74" customFormat="false" ht="15" hidden="false" customHeight="false" outlineLevel="0" collapsed="false">
      <c r="A74" s="21"/>
      <c r="B74" s="21"/>
      <c r="C74" s="22"/>
      <c r="D74" s="23"/>
      <c r="E74" s="23"/>
      <c r="F74" s="22"/>
      <c r="G74" s="23"/>
      <c r="H74" s="24" t="str">
        <f aca="false">IF(G74="","",G74*'Booth Setup'!$C$8)</f>
        <v/>
      </c>
      <c r="I74" s="24" t="str">
        <f aca="false">IF(G74="","",G74*'Booth Setup'!$C$9)</f>
        <v/>
      </c>
      <c r="J74" s="24" t="str">
        <f aca="false">IF(G74="","",G74-H74-I74-D74)</f>
        <v/>
      </c>
      <c r="K74" s="25" t="str">
        <f aca="true">IF(C74="","",IF(F74="",TODAY(),F74)-C74)</f>
        <v/>
      </c>
      <c r="L74" s="26" t="str">
        <f aca="false">IF(A74="","",IF(G74&lt;&gt;"","Sold",IF(K74&gt;'Booth Setup'!$C$12,"STALE - mark down","In booth")))</f>
        <v/>
      </c>
      <c r="M74" s="27" t="str">
        <f aca="false">IF(F74="","",DATE(YEAR(F74),MONTH(F74),1))</f>
        <v/>
      </c>
    </row>
    <row r="75" customFormat="false" ht="15" hidden="false" customHeight="false" outlineLevel="0" collapsed="false">
      <c r="A75" s="21"/>
      <c r="B75" s="21"/>
      <c r="C75" s="22"/>
      <c r="D75" s="23"/>
      <c r="E75" s="23"/>
      <c r="F75" s="22"/>
      <c r="G75" s="23"/>
      <c r="H75" s="24" t="str">
        <f aca="false">IF(G75="","",G75*'Booth Setup'!$C$8)</f>
        <v/>
      </c>
      <c r="I75" s="24" t="str">
        <f aca="false">IF(G75="","",G75*'Booth Setup'!$C$9)</f>
        <v/>
      </c>
      <c r="J75" s="24" t="str">
        <f aca="false">IF(G75="","",G75-H75-I75-D75)</f>
        <v/>
      </c>
      <c r="K75" s="25" t="str">
        <f aca="true">IF(C75="","",IF(F75="",TODAY(),F75)-C75)</f>
        <v/>
      </c>
      <c r="L75" s="26" t="str">
        <f aca="false">IF(A75="","",IF(G75&lt;&gt;"","Sold",IF(K75&gt;'Booth Setup'!$C$12,"STALE - mark down","In booth")))</f>
        <v/>
      </c>
      <c r="M75" s="27" t="str">
        <f aca="false">IF(F75="","",DATE(YEAR(F75),MONTH(F75),1))</f>
        <v/>
      </c>
    </row>
    <row r="76" customFormat="false" ht="15" hidden="false" customHeight="false" outlineLevel="0" collapsed="false">
      <c r="A76" s="21"/>
      <c r="B76" s="21"/>
      <c r="C76" s="22"/>
      <c r="D76" s="23"/>
      <c r="E76" s="23"/>
      <c r="F76" s="22"/>
      <c r="G76" s="23"/>
      <c r="H76" s="24" t="str">
        <f aca="false">IF(G76="","",G76*'Booth Setup'!$C$8)</f>
        <v/>
      </c>
      <c r="I76" s="24" t="str">
        <f aca="false">IF(G76="","",G76*'Booth Setup'!$C$9)</f>
        <v/>
      </c>
      <c r="J76" s="24" t="str">
        <f aca="false">IF(G76="","",G76-H76-I76-D76)</f>
        <v/>
      </c>
      <c r="K76" s="25" t="str">
        <f aca="true">IF(C76="","",IF(F76="",TODAY(),F76)-C76)</f>
        <v/>
      </c>
      <c r="L76" s="26" t="str">
        <f aca="false">IF(A76="","",IF(G76&lt;&gt;"","Sold",IF(K76&gt;'Booth Setup'!$C$12,"STALE - mark down","In booth")))</f>
        <v/>
      </c>
      <c r="M76" s="27" t="str">
        <f aca="false">IF(F76="","",DATE(YEAR(F76),MONTH(F76),1))</f>
        <v/>
      </c>
    </row>
    <row r="77" customFormat="false" ht="15" hidden="false" customHeight="false" outlineLevel="0" collapsed="false">
      <c r="A77" s="21"/>
      <c r="B77" s="21"/>
      <c r="C77" s="22"/>
      <c r="D77" s="23"/>
      <c r="E77" s="23"/>
      <c r="F77" s="22"/>
      <c r="G77" s="23"/>
      <c r="H77" s="24" t="str">
        <f aca="false">IF(G77="","",G77*'Booth Setup'!$C$8)</f>
        <v/>
      </c>
      <c r="I77" s="24" t="str">
        <f aca="false">IF(G77="","",G77*'Booth Setup'!$C$9)</f>
        <v/>
      </c>
      <c r="J77" s="24" t="str">
        <f aca="false">IF(G77="","",G77-H77-I77-D77)</f>
        <v/>
      </c>
      <c r="K77" s="25" t="str">
        <f aca="true">IF(C77="","",IF(F77="",TODAY(),F77)-C77)</f>
        <v/>
      </c>
      <c r="L77" s="26" t="str">
        <f aca="false">IF(A77="","",IF(G77&lt;&gt;"","Sold",IF(K77&gt;'Booth Setup'!$C$12,"STALE - mark down","In booth")))</f>
        <v/>
      </c>
      <c r="M77" s="27" t="str">
        <f aca="false">IF(F77="","",DATE(YEAR(F77),MONTH(F77),1))</f>
        <v/>
      </c>
    </row>
    <row r="78" customFormat="false" ht="15" hidden="false" customHeight="false" outlineLevel="0" collapsed="false">
      <c r="A78" s="21"/>
      <c r="B78" s="21"/>
      <c r="C78" s="22"/>
      <c r="D78" s="23"/>
      <c r="E78" s="23"/>
      <c r="F78" s="22"/>
      <c r="G78" s="23"/>
      <c r="H78" s="24" t="str">
        <f aca="false">IF(G78="","",G78*'Booth Setup'!$C$8)</f>
        <v/>
      </c>
      <c r="I78" s="24" t="str">
        <f aca="false">IF(G78="","",G78*'Booth Setup'!$C$9)</f>
        <v/>
      </c>
      <c r="J78" s="24" t="str">
        <f aca="false">IF(G78="","",G78-H78-I78-D78)</f>
        <v/>
      </c>
      <c r="K78" s="25" t="str">
        <f aca="true">IF(C78="","",IF(F78="",TODAY(),F78)-C78)</f>
        <v/>
      </c>
      <c r="L78" s="26" t="str">
        <f aca="false">IF(A78="","",IF(G78&lt;&gt;"","Sold",IF(K78&gt;'Booth Setup'!$C$12,"STALE - mark down","In booth")))</f>
        <v/>
      </c>
      <c r="M78" s="27" t="str">
        <f aca="false">IF(F78="","",DATE(YEAR(F78),MONTH(F78),1))</f>
        <v/>
      </c>
    </row>
    <row r="79" customFormat="false" ht="15" hidden="false" customHeight="false" outlineLevel="0" collapsed="false">
      <c r="A79" s="21"/>
      <c r="B79" s="21"/>
      <c r="C79" s="22"/>
      <c r="D79" s="23"/>
      <c r="E79" s="23"/>
      <c r="F79" s="22"/>
      <c r="G79" s="23"/>
      <c r="H79" s="24" t="str">
        <f aca="false">IF(G79="","",G79*'Booth Setup'!$C$8)</f>
        <v/>
      </c>
      <c r="I79" s="24" t="str">
        <f aca="false">IF(G79="","",G79*'Booth Setup'!$C$9)</f>
        <v/>
      </c>
      <c r="J79" s="24" t="str">
        <f aca="false">IF(G79="","",G79-H79-I79-D79)</f>
        <v/>
      </c>
      <c r="K79" s="25" t="str">
        <f aca="true">IF(C79="","",IF(F79="",TODAY(),F79)-C79)</f>
        <v/>
      </c>
      <c r="L79" s="26" t="str">
        <f aca="false">IF(A79="","",IF(G79&lt;&gt;"","Sold",IF(K79&gt;'Booth Setup'!$C$12,"STALE - mark down","In booth")))</f>
        <v/>
      </c>
      <c r="M79" s="27" t="str">
        <f aca="false">IF(F79="","",DATE(YEAR(F79),MONTH(F79),1))</f>
        <v/>
      </c>
    </row>
    <row r="80" customFormat="false" ht="15" hidden="false" customHeight="false" outlineLevel="0" collapsed="false">
      <c r="A80" s="21"/>
      <c r="B80" s="21"/>
      <c r="C80" s="22"/>
      <c r="D80" s="23"/>
      <c r="E80" s="23"/>
      <c r="F80" s="22"/>
      <c r="G80" s="23"/>
      <c r="H80" s="24" t="str">
        <f aca="false">IF(G80="","",G80*'Booth Setup'!$C$8)</f>
        <v/>
      </c>
      <c r="I80" s="24" t="str">
        <f aca="false">IF(G80="","",G80*'Booth Setup'!$C$9)</f>
        <v/>
      </c>
      <c r="J80" s="24" t="str">
        <f aca="false">IF(G80="","",G80-H80-I80-D80)</f>
        <v/>
      </c>
      <c r="K80" s="25" t="str">
        <f aca="true">IF(C80="","",IF(F80="",TODAY(),F80)-C80)</f>
        <v/>
      </c>
      <c r="L80" s="26" t="str">
        <f aca="false">IF(A80="","",IF(G80&lt;&gt;"","Sold",IF(K80&gt;'Booth Setup'!$C$12,"STALE - mark down","In booth")))</f>
        <v/>
      </c>
      <c r="M80" s="27" t="str">
        <f aca="false">IF(F80="","",DATE(YEAR(F80),MONTH(F80),1))</f>
        <v/>
      </c>
    </row>
    <row r="81" customFormat="false" ht="15" hidden="false" customHeight="false" outlineLevel="0" collapsed="false">
      <c r="A81" s="21"/>
      <c r="B81" s="21"/>
      <c r="C81" s="22"/>
      <c r="D81" s="23"/>
      <c r="E81" s="23"/>
      <c r="F81" s="22"/>
      <c r="G81" s="23"/>
      <c r="H81" s="24" t="str">
        <f aca="false">IF(G81="","",G81*'Booth Setup'!$C$8)</f>
        <v/>
      </c>
      <c r="I81" s="24" t="str">
        <f aca="false">IF(G81="","",G81*'Booth Setup'!$C$9)</f>
        <v/>
      </c>
      <c r="J81" s="24" t="str">
        <f aca="false">IF(G81="","",G81-H81-I81-D81)</f>
        <v/>
      </c>
      <c r="K81" s="25" t="str">
        <f aca="true">IF(C81="","",IF(F81="",TODAY(),F81)-C81)</f>
        <v/>
      </c>
      <c r="L81" s="26" t="str">
        <f aca="false">IF(A81="","",IF(G81&lt;&gt;"","Sold",IF(K81&gt;'Booth Setup'!$C$12,"STALE - mark down","In booth")))</f>
        <v/>
      </c>
      <c r="M81" s="27" t="str">
        <f aca="false">IF(F81="","",DATE(YEAR(F81),MONTH(F81),1))</f>
        <v/>
      </c>
    </row>
    <row r="82" customFormat="false" ht="15" hidden="false" customHeight="false" outlineLevel="0" collapsed="false">
      <c r="A82" s="21"/>
      <c r="B82" s="21"/>
      <c r="C82" s="22"/>
      <c r="D82" s="23"/>
      <c r="E82" s="23"/>
      <c r="F82" s="22"/>
      <c r="G82" s="23"/>
      <c r="H82" s="24" t="str">
        <f aca="false">IF(G82="","",G82*'Booth Setup'!$C$8)</f>
        <v/>
      </c>
      <c r="I82" s="24" t="str">
        <f aca="false">IF(G82="","",G82*'Booth Setup'!$C$9)</f>
        <v/>
      </c>
      <c r="J82" s="24" t="str">
        <f aca="false">IF(G82="","",G82-H82-I82-D82)</f>
        <v/>
      </c>
      <c r="K82" s="25" t="str">
        <f aca="true">IF(C82="","",IF(F82="",TODAY(),F82)-C82)</f>
        <v/>
      </c>
      <c r="L82" s="26" t="str">
        <f aca="false">IF(A82="","",IF(G82&lt;&gt;"","Sold",IF(K82&gt;'Booth Setup'!$C$12,"STALE - mark down","In booth")))</f>
        <v/>
      </c>
      <c r="M82" s="27" t="str">
        <f aca="false">IF(F82="","",DATE(YEAR(F82),MONTH(F82),1))</f>
        <v/>
      </c>
    </row>
    <row r="83" customFormat="false" ht="15" hidden="false" customHeight="false" outlineLevel="0" collapsed="false">
      <c r="A83" s="21"/>
      <c r="B83" s="21"/>
      <c r="C83" s="22"/>
      <c r="D83" s="23"/>
      <c r="E83" s="23"/>
      <c r="F83" s="22"/>
      <c r="G83" s="23"/>
      <c r="H83" s="24" t="str">
        <f aca="false">IF(G83="","",G83*'Booth Setup'!$C$8)</f>
        <v/>
      </c>
      <c r="I83" s="24" t="str">
        <f aca="false">IF(G83="","",G83*'Booth Setup'!$C$9)</f>
        <v/>
      </c>
      <c r="J83" s="24" t="str">
        <f aca="false">IF(G83="","",G83-H83-I83-D83)</f>
        <v/>
      </c>
      <c r="K83" s="25" t="str">
        <f aca="true">IF(C83="","",IF(F83="",TODAY(),F83)-C83)</f>
        <v/>
      </c>
      <c r="L83" s="26" t="str">
        <f aca="false">IF(A83="","",IF(G83&lt;&gt;"","Sold",IF(K83&gt;'Booth Setup'!$C$12,"STALE - mark down","In booth")))</f>
        <v/>
      </c>
      <c r="M83" s="27" t="str">
        <f aca="false">IF(F83="","",DATE(YEAR(F83),MONTH(F83),1))</f>
        <v/>
      </c>
    </row>
    <row r="84" customFormat="false" ht="15" hidden="false" customHeight="false" outlineLevel="0" collapsed="false">
      <c r="A84" s="21"/>
      <c r="B84" s="21"/>
      <c r="C84" s="22"/>
      <c r="D84" s="23"/>
      <c r="E84" s="23"/>
      <c r="F84" s="22"/>
      <c r="G84" s="23"/>
      <c r="H84" s="24" t="str">
        <f aca="false">IF(G84="","",G84*'Booth Setup'!$C$8)</f>
        <v/>
      </c>
      <c r="I84" s="24" t="str">
        <f aca="false">IF(G84="","",G84*'Booth Setup'!$C$9)</f>
        <v/>
      </c>
      <c r="J84" s="24" t="str">
        <f aca="false">IF(G84="","",G84-H84-I84-D84)</f>
        <v/>
      </c>
      <c r="K84" s="25" t="str">
        <f aca="true">IF(C84="","",IF(F84="",TODAY(),F84)-C84)</f>
        <v/>
      </c>
      <c r="L84" s="26" t="str">
        <f aca="false">IF(A84="","",IF(G84&lt;&gt;"","Sold",IF(K84&gt;'Booth Setup'!$C$12,"STALE - mark down","In booth")))</f>
        <v/>
      </c>
      <c r="M84" s="27" t="str">
        <f aca="false">IF(F84="","",DATE(YEAR(F84),MONTH(F84),1))</f>
        <v/>
      </c>
    </row>
    <row r="85" customFormat="false" ht="15" hidden="false" customHeight="false" outlineLevel="0" collapsed="false">
      <c r="A85" s="21"/>
      <c r="B85" s="21"/>
      <c r="C85" s="22"/>
      <c r="D85" s="23"/>
      <c r="E85" s="23"/>
      <c r="F85" s="22"/>
      <c r="G85" s="23"/>
      <c r="H85" s="24" t="str">
        <f aca="false">IF(G85="","",G85*'Booth Setup'!$C$8)</f>
        <v/>
      </c>
      <c r="I85" s="24" t="str">
        <f aca="false">IF(G85="","",G85*'Booth Setup'!$C$9)</f>
        <v/>
      </c>
      <c r="J85" s="24" t="str">
        <f aca="false">IF(G85="","",G85-H85-I85-D85)</f>
        <v/>
      </c>
      <c r="K85" s="25" t="str">
        <f aca="true">IF(C85="","",IF(F85="",TODAY(),F85)-C85)</f>
        <v/>
      </c>
      <c r="L85" s="26" t="str">
        <f aca="false">IF(A85="","",IF(G85&lt;&gt;"","Sold",IF(K85&gt;'Booth Setup'!$C$12,"STALE - mark down","In booth")))</f>
        <v/>
      </c>
      <c r="M85" s="27" t="str">
        <f aca="false">IF(F85="","",DATE(YEAR(F85),MONTH(F85),1))</f>
        <v/>
      </c>
    </row>
    <row r="86" customFormat="false" ht="15" hidden="false" customHeight="false" outlineLevel="0" collapsed="false">
      <c r="A86" s="21"/>
      <c r="B86" s="21"/>
      <c r="C86" s="22"/>
      <c r="D86" s="23"/>
      <c r="E86" s="23"/>
      <c r="F86" s="22"/>
      <c r="G86" s="23"/>
      <c r="H86" s="24" t="str">
        <f aca="false">IF(G86="","",G86*'Booth Setup'!$C$8)</f>
        <v/>
      </c>
      <c r="I86" s="24" t="str">
        <f aca="false">IF(G86="","",G86*'Booth Setup'!$C$9)</f>
        <v/>
      </c>
      <c r="J86" s="24" t="str">
        <f aca="false">IF(G86="","",G86-H86-I86-D86)</f>
        <v/>
      </c>
      <c r="K86" s="25" t="str">
        <f aca="true">IF(C86="","",IF(F86="",TODAY(),F86)-C86)</f>
        <v/>
      </c>
      <c r="L86" s="26" t="str">
        <f aca="false">IF(A86="","",IF(G86&lt;&gt;"","Sold",IF(K86&gt;'Booth Setup'!$C$12,"STALE - mark down","In booth")))</f>
        <v/>
      </c>
      <c r="M86" s="27" t="str">
        <f aca="false">IF(F86="","",DATE(YEAR(F86),MONTH(F86),1))</f>
        <v/>
      </c>
    </row>
    <row r="87" customFormat="false" ht="15" hidden="false" customHeight="false" outlineLevel="0" collapsed="false">
      <c r="A87" s="21"/>
      <c r="B87" s="21"/>
      <c r="C87" s="22"/>
      <c r="D87" s="23"/>
      <c r="E87" s="23"/>
      <c r="F87" s="22"/>
      <c r="G87" s="23"/>
      <c r="H87" s="24" t="str">
        <f aca="false">IF(G87="","",G87*'Booth Setup'!$C$8)</f>
        <v/>
      </c>
      <c r="I87" s="24" t="str">
        <f aca="false">IF(G87="","",G87*'Booth Setup'!$C$9)</f>
        <v/>
      </c>
      <c r="J87" s="24" t="str">
        <f aca="false">IF(G87="","",G87-H87-I87-D87)</f>
        <v/>
      </c>
      <c r="K87" s="25" t="str">
        <f aca="true">IF(C87="","",IF(F87="",TODAY(),F87)-C87)</f>
        <v/>
      </c>
      <c r="L87" s="26" t="str">
        <f aca="false">IF(A87="","",IF(G87&lt;&gt;"","Sold",IF(K87&gt;'Booth Setup'!$C$12,"STALE - mark down","In booth")))</f>
        <v/>
      </c>
      <c r="M87" s="27" t="str">
        <f aca="false">IF(F87="","",DATE(YEAR(F87),MONTH(F87),1))</f>
        <v/>
      </c>
    </row>
    <row r="88" customFormat="false" ht="15" hidden="false" customHeight="false" outlineLevel="0" collapsed="false">
      <c r="A88" s="21"/>
      <c r="B88" s="21"/>
      <c r="C88" s="22"/>
      <c r="D88" s="23"/>
      <c r="E88" s="23"/>
      <c r="F88" s="22"/>
      <c r="G88" s="23"/>
      <c r="H88" s="24" t="str">
        <f aca="false">IF(G88="","",G88*'Booth Setup'!$C$8)</f>
        <v/>
      </c>
      <c r="I88" s="24" t="str">
        <f aca="false">IF(G88="","",G88*'Booth Setup'!$C$9)</f>
        <v/>
      </c>
      <c r="J88" s="24" t="str">
        <f aca="false">IF(G88="","",G88-H88-I88-D88)</f>
        <v/>
      </c>
      <c r="K88" s="25" t="str">
        <f aca="true">IF(C88="","",IF(F88="",TODAY(),F88)-C88)</f>
        <v/>
      </c>
      <c r="L88" s="26" t="str">
        <f aca="false">IF(A88="","",IF(G88&lt;&gt;"","Sold",IF(K88&gt;'Booth Setup'!$C$12,"STALE - mark down","In booth")))</f>
        <v/>
      </c>
      <c r="M88" s="27" t="str">
        <f aca="false">IF(F88="","",DATE(YEAR(F88),MONTH(F88),1))</f>
        <v/>
      </c>
    </row>
    <row r="89" customFormat="false" ht="15" hidden="false" customHeight="false" outlineLevel="0" collapsed="false">
      <c r="A89" s="21"/>
      <c r="B89" s="21"/>
      <c r="C89" s="22"/>
      <c r="D89" s="23"/>
      <c r="E89" s="23"/>
      <c r="F89" s="22"/>
      <c r="G89" s="23"/>
      <c r="H89" s="24" t="str">
        <f aca="false">IF(G89="","",G89*'Booth Setup'!$C$8)</f>
        <v/>
      </c>
      <c r="I89" s="24" t="str">
        <f aca="false">IF(G89="","",G89*'Booth Setup'!$C$9)</f>
        <v/>
      </c>
      <c r="J89" s="24" t="str">
        <f aca="false">IF(G89="","",G89-H89-I89-D89)</f>
        <v/>
      </c>
      <c r="K89" s="25" t="str">
        <f aca="true">IF(C89="","",IF(F89="",TODAY(),F89)-C89)</f>
        <v/>
      </c>
      <c r="L89" s="26" t="str">
        <f aca="false">IF(A89="","",IF(G89&lt;&gt;"","Sold",IF(K89&gt;'Booth Setup'!$C$12,"STALE - mark down","In booth")))</f>
        <v/>
      </c>
      <c r="M89" s="27" t="str">
        <f aca="false">IF(F89="","",DATE(YEAR(F89),MONTH(F89),1))</f>
        <v/>
      </c>
    </row>
    <row r="90" customFormat="false" ht="15" hidden="false" customHeight="false" outlineLevel="0" collapsed="false">
      <c r="A90" s="21"/>
      <c r="B90" s="21"/>
      <c r="C90" s="22"/>
      <c r="D90" s="23"/>
      <c r="E90" s="23"/>
      <c r="F90" s="22"/>
      <c r="G90" s="23"/>
      <c r="H90" s="24" t="str">
        <f aca="false">IF(G90="","",G90*'Booth Setup'!$C$8)</f>
        <v/>
      </c>
      <c r="I90" s="24" t="str">
        <f aca="false">IF(G90="","",G90*'Booth Setup'!$C$9)</f>
        <v/>
      </c>
      <c r="J90" s="24" t="str">
        <f aca="false">IF(G90="","",G90-H90-I90-D90)</f>
        <v/>
      </c>
      <c r="K90" s="25" t="str">
        <f aca="true">IF(C90="","",IF(F90="",TODAY(),F90)-C90)</f>
        <v/>
      </c>
      <c r="L90" s="26" t="str">
        <f aca="false">IF(A90="","",IF(G90&lt;&gt;"","Sold",IF(K90&gt;'Booth Setup'!$C$12,"STALE - mark down","In booth")))</f>
        <v/>
      </c>
      <c r="M90" s="27" t="str">
        <f aca="false">IF(F90="","",DATE(YEAR(F90),MONTH(F90),1))</f>
        <v/>
      </c>
    </row>
    <row r="91" customFormat="false" ht="15" hidden="false" customHeight="false" outlineLevel="0" collapsed="false">
      <c r="A91" s="21"/>
      <c r="B91" s="21"/>
      <c r="C91" s="22"/>
      <c r="D91" s="23"/>
      <c r="E91" s="23"/>
      <c r="F91" s="22"/>
      <c r="G91" s="23"/>
      <c r="H91" s="24" t="str">
        <f aca="false">IF(G91="","",G91*'Booth Setup'!$C$8)</f>
        <v/>
      </c>
      <c r="I91" s="24" t="str">
        <f aca="false">IF(G91="","",G91*'Booth Setup'!$C$9)</f>
        <v/>
      </c>
      <c r="J91" s="24" t="str">
        <f aca="false">IF(G91="","",G91-H91-I91-D91)</f>
        <v/>
      </c>
      <c r="K91" s="25" t="str">
        <f aca="true">IF(C91="","",IF(F91="",TODAY(),F91)-C91)</f>
        <v/>
      </c>
      <c r="L91" s="26" t="str">
        <f aca="false">IF(A91="","",IF(G91&lt;&gt;"","Sold",IF(K91&gt;'Booth Setup'!$C$12,"STALE - mark down","In booth")))</f>
        <v/>
      </c>
      <c r="M91" s="27" t="str">
        <f aca="false">IF(F91="","",DATE(YEAR(F91),MONTH(F91),1))</f>
        <v/>
      </c>
    </row>
    <row r="92" customFormat="false" ht="15" hidden="false" customHeight="false" outlineLevel="0" collapsed="false">
      <c r="A92" s="21"/>
      <c r="B92" s="21"/>
      <c r="C92" s="22"/>
      <c r="D92" s="23"/>
      <c r="E92" s="23"/>
      <c r="F92" s="22"/>
      <c r="G92" s="23"/>
      <c r="H92" s="24" t="str">
        <f aca="false">IF(G92="","",G92*'Booth Setup'!$C$8)</f>
        <v/>
      </c>
      <c r="I92" s="24" t="str">
        <f aca="false">IF(G92="","",G92*'Booth Setup'!$C$9)</f>
        <v/>
      </c>
      <c r="J92" s="24" t="str">
        <f aca="false">IF(G92="","",G92-H92-I92-D92)</f>
        <v/>
      </c>
      <c r="K92" s="25" t="str">
        <f aca="true">IF(C92="","",IF(F92="",TODAY(),F92)-C92)</f>
        <v/>
      </c>
      <c r="L92" s="26" t="str">
        <f aca="false">IF(A92="","",IF(G92&lt;&gt;"","Sold",IF(K92&gt;'Booth Setup'!$C$12,"STALE - mark down","In booth")))</f>
        <v/>
      </c>
      <c r="M92" s="27" t="str">
        <f aca="false">IF(F92="","",DATE(YEAR(F92),MONTH(F92),1))</f>
        <v/>
      </c>
    </row>
    <row r="93" customFormat="false" ht="15" hidden="false" customHeight="false" outlineLevel="0" collapsed="false">
      <c r="A93" s="21"/>
      <c r="B93" s="21"/>
      <c r="C93" s="22"/>
      <c r="D93" s="23"/>
      <c r="E93" s="23"/>
      <c r="F93" s="22"/>
      <c r="G93" s="23"/>
      <c r="H93" s="24" t="str">
        <f aca="false">IF(G93="","",G93*'Booth Setup'!$C$8)</f>
        <v/>
      </c>
      <c r="I93" s="24" t="str">
        <f aca="false">IF(G93="","",G93*'Booth Setup'!$C$9)</f>
        <v/>
      </c>
      <c r="J93" s="24" t="str">
        <f aca="false">IF(G93="","",G93-H93-I93-D93)</f>
        <v/>
      </c>
      <c r="K93" s="25" t="str">
        <f aca="true">IF(C93="","",IF(F93="",TODAY(),F93)-C93)</f>
        <v/>
      </c>
      <c r="L93" s="26" t="str">
        <f aca="false">IF(A93="","",IF(G93&lt;&gt;"","Sold",IF(K93&gt;'Booth Setup'!$C$12,"STALE - mark down","In booth")))</f>
        <v/>
      </c>
      <c r="M93" s="27" t="str">
        <f aca="false">IF(F93="","",DATE(YEAR(F93),MONTH(F93),1))</f>
        <v/>
      </c>
    </row>
    <row r="94" customFormat="false" ht="15" hidden="false" customHeight="false" outlineLevel="0" collapsed="false">
      <c r="A94" s="21"/>
      <c r="B94" s="21"/>
      <c r="C94" s="22"/>
      <c r="D94" s="23"/>
      <c r="E94" s="23"/>
      <c r="F94" s="22"/>
      <c r="G94" s="23"/>
      <c r="H94" s="24" t="str">
        <f aca="false">IF(G94="","",G94*'Booth Setup'!$C$8)</f>
        <v/>
      </c>
      <c r="I94" s="24" t="str">
        <f aca="false">IF(G94="","",G94*'Booth Setup'!$C$9)</f>
        <v/>
      </c>
      <c r="J94" s="24" t="str">
        <f aca="false">IF(G94="","",G94-H94-I94-D94)</f>
        <v/>
      </c>
      <c r="K94" s="25" t="str">
        <f aca="true">IF(C94="","",IF(F94="",TODAY(),F94)-C94)</f>
        <v/>
      </c>
      <c r="L94" s="26" t="str">
        <f aca="false">IF(A94="","",IF(G94&lt;&gt;"","Sold",IF(K94&gt;'Booth Setup'!$C$12,"STALE - mark down","In booth")))</f>
        <v/>
      </c>
      <c r="M94" s="27" t="str">
        <f aca="false">IF(F94="","",DATE(YEAR(F94),MONTH(F94),1))</f>
        <v/>
      </c>
    </row>
    <row r="95" customFormat="false" ht="15" hidden="false" customHeight="false" outlineLevel="0" collapsed="false">
      <c r="A95" s="21"/>
      <c r="B95" s="21"/>
      <c r="C95" s="22"/>
      <c r="D95" s="23"/>
      <c r="E95" s="23"/>
      <c r="F95" s="22"/>
      <c r="G95" s="23"/>
      <c r="H95" s="24" t="str">
        <f aca="false">IF(G95="","",G95*'Booth Setup'!$C$8)</f>
        <v/>
      </c>
      <c r="I95" s="24" t="str">
        <f aca="false">IF(G95="","",G95*'Booth Setup'!$C$9)</f>
        <v/>
      </c>
      <c r="J95" s="24" t="str">
        <f aca="false">IF(G95="","",G95-H95-I95-D95)</f>
        <v/>
      </c>
      <c r="K95" s="25" t="str">
        <f aca="true">IF(C95="","",IF(F95="",TODAY(),F95)-C95)</f>
        <v/>
      </c>
      <c r="L95" s="26" t="str">
        <f aca="false">IF(A95="","",IF(G95&lt;&gt;"","Sold",IF(K95&gt;'Booth Setup'!$C$12,"STALE - mark down","In booth")))</f>
        <v/>
      </c>
      <c r="M95" s="27" t="str">
        <f aca="false">IF(F95="","",DATE(YEAR(F95),MONTH(F95),1))</f>
        <v/>
      </c>
    </row>
    <row r="96" customFormat="false" ht="15" hidden="false" customHeight="false" outlineLevel="0" collapsed="false">
      <c r="A96" s="21"/>
      <c r="B96" s="21"/>
      <c r="C96" s="22"/>
      <c r="D96" s="23"/>
      <c r="E96" s="23"/>
      <c r="F96" s="22"/>
      <c r="G96" s="23"/>
      <c r="H96" s="24" t="str">
        <f aca="false">IF(G96="","",G96*'Booth Setup'!$C$8)</f>
        <v/>
      </c>
      <c r="I96" s="24" t="str">
        <f aca="false">IF(G96="","",G96*'Booth Setup'!$C$9)</f>
        <v/>
      </c>
      <c r="J96" s="24" t="str">
        <f aca="false">IF(G96="","",G96-H96-I96-D96)</f>
        <v/>
      </c>
      <c r="K96" s="25" t="str">
        <f aca="true">IF(C96="","",IF(F96="",TODAY(),F96)-C96)</f>
        <v/>
      </c>
      <c r="L96" s="26" t="str">
        <f aca="false">IF(A96="","",IF(G96&lt;&gt;"","Sold",IF(K96&gt;'Booth Setup'!$C$12,"STALE - mark down","In booth")))</f>
        <v/>
      </c>
      <c r="M96" s="27" t="str">
        <f aca="false">IF(F96="","",DATE(YEAR(F96),MONTH(F96),1))</f>
        <v/>
      </c>
    </row>
    <row r="97" customFormat="false" ht="15" hidden="false" customHeight="false" outlineLevel="0" collapsed="false">
      <c r="A97" s="21"/>
      <c r="B97" s="21"/>
      <c r="C97" s="22"/>
      <c r="D97" s="23"/>
      <c r="E97" s="23"/>
      <c r="F97" s="22"/>
      <c r="G97" s="23"/>
      <c r="H97" s="24" t="str">
        <f aca="false">IF(G97="","",G97*'Booth Setup'!$C$8)</f>
        <v/>
      </c>
      <c r="I97" s="24" t="str">
        <f aca="false">IF(G97="","",G97*'Booth Setup'!$C$9)</f>
        <v/>
      </c>
      <c r="J97" s="24" t="str">
        <f aca="false">IF(G97="","",G97-H97-I97-D97)</f>
        <v/>
      </c>
      <c r="K97" s="25" t="str">
        <f aca="true">IF(C97="","",IF(F97="",TODAY(),F97)-C97)</f>
        <v/>
      </c>
      <c r="L97" s="26" t="str">
        <f aca="false">IF(A97="","",IF(G97&lt;&gt;"","Sold",IF(K97&gt;'Booth Setup'!$C$12,"STALE - mark down","In booth")))</f>
        <v/>
      </c>
      <c r="M97" s="27" t="str">
        <f aca="false">IF(F97="","",DATE(YEAR(F97),MONTH(F97),1))</f>
        <v/>
      </c>
    </row>
    <row r="98" customFormat="false" ht="15" hidden="false" customHeight="false" outlineLevel="0" collapsed="false">
      <c r="A98" s="21"/>
      <c r="B98" s="21"/>
      <c r="C98" s="22"/>
      <c r="D98" s="23"/>
      <c r="E98" s="23"/>
      <c r="F98" s="22"/>
      <c r="G98" s="23"/>
      <c r="H98" s="24" t="str">
        <f aca="false">IF(G98="","",G98*'Booth Setup'!$C$8)</f>
        <v/>
      </c>
      <c r="I98" s="24" t="str">
        <f aca="false">IF(G98="","",G98*'Booth Setup'!$C$9)</f>
        <v/>
      </c>
      <c r="J98" s="24" t="str">
        <f aca="false">IF(G98="","",G98-H98-I98-D98)</f>
        <v/>
      </c>
      <c r="K98" s="25" t="str">
        <f aca="true">IF(C98="","",IF(F98="",TODAY(),F98)-C98)</f>
        <v/>
      </c>
      <c r="L98" s="26" t="str">
        <f aca="false">IF(A98="","",IF(G98&lt;&gt;"","Sold",IF(K98&gt;'Booth Setup'!$C$12,"STALE - mark down","In booth")))</f>
        <v/>
      </c>
      <c r="M98" s="27" t="str">
        <f aca="false">IF(F98="","",DATE(YEAR(F98),MONTH(F98),1))</f>
        <v/>
      </c>
    </row>
    <row r="99" customFormat="false" ht="15" hidden="false" customHeight="false" outlineLevel="0" collapsed="false">
      <c r="A99" s="21"/>
      <c r="B99" s="21"/>
      <c r="C99" s="22"/>
      <c r="D99" s="23"/>
      <c r="E99" s="23"/>
      <c r="F99" s="22"/>
      <c r="G99" s="23"/>
      <c r="H99" s="24" t="str">
        <f aca="false">IF(G99="","",G99*'Booth Setup'!$C$8)</f>
        <v/>
      </c>
      <c r="I99" s="24" t="str">
        <f aca="false">IF(G99="","",G99*'Booth Setup'!$C$9)</f>
        <v/>
      </c>
      <c r="J99" s="24" t="str">
        <f aca="false">IF(G99="","",G99-H99-I99-D99)</f>
        <v/>
      </c>
      <c r="K99" s="25" t="str">
        <f aca="true">IF(C99="","",IF(F99="",TODAY(),F99)-C99)</f>
        <v/>
      </c>
      <c r="L99" s="26" t="str">
        <f aca="false">IF(A99="","",IF(G99&lt;&gt;"","Sold",IF(K99&gt;'Booth Setup'!$C$12,"STALE - mark down","In booth")))</f>
        <v/>
      </c>
      <c r="M99" s="27" t="str">
        <f aca="false">IF(F99="","",DATE(YEAR(F99),MONTH(F99),1))</f>
        <v/>
      </c>
    </row>
    <row r="100" customFormat="false" ht="15" hidden="false" customHeight="false" outlineLevel="0" collapsed="false">
      <c r="A100" s="21"/>
      <c r="B100" s="21"/>
      <c r="C100" s="22"/>
      <c r="D100" s="23"/>
      <c r="E100" s="23"/>
      <c r="F100" s="22"/>
      <c r="G100" s="23"/>
      <c r="H100" s="24" t="str">
        <f aca="false">IF(G100="","",G100*'Booth Setup'!$C$8)</f>
        <v/>
      </c>
      <c r="I100" s="24" t="str">
        <f aca="false">IF(G100="","",G100*'Booth Setup'!$C$9)</f>
        <v/>
      </c>
      <c r="J100" s="24" t="str">
        <f aca="false">IF(G100="","",G100-H100-I100-D100)</f>
        <v/>
      </c>
      <c r="K100" s="25" t="str">
        <f aca="true">IF(C100="","",IF(F100="",TODAY(),F100)-C100)</f>
        <v/>
      </c>
      <c r="L100" s="26" t="str">
        <f aca="false">IF(A100="","",IF(G100&lt;&gt;"","Sold",IF(K100&gt;'Booth Setup'!$C$12,"STALE - mark down","In booth")))</f>
        <v/>
      </c>
      <c r="M100" s="27" t="str">
        <f aca="false">IF(F100="","",DATE(YEAR(F100),MONTH(F100),1))</f>
        <v/>
      </c>
    </row>
    <row r="101" customFormat="false" ht="15" hidden="false" customHeight="false" outlineLevel="0" collapsed="false">
      <c r="A101" s="21"/>
      <c r="B101" s="21"/>
      <c r="C101" s="22"/>
      <c r="D101" s="23"/>
      <c r="E101" s="23"/>
      <c r="F101" s="22"/>
      <c r="G101" s="23"/>
      <c r="H101" s="24" t="str">
        <f aca="false">IF(G101="","",G101*'Booth Setup'!$C$8)</f>
        <v/>
      </c>
      <c r="I101" s="24" t="str">
        <f aca="false">IF(G101="","",G101*'Booth Setup'!$C$9)</f>
        <v/>
      </c>
      <c r="J101" s="24" t="str">
        <f aca="false">IF(G101="","",G101-H101-I101-D101)</f>
        <v/>
      </c>
      <c r="K101" s="25" t="str">
        <f aca="true">IF(C101="","",IF(F101="",TODAY(),F101)-C101)</f>
        <v/>
      </c>
      <c r="L101" s="26" t="str">
        <f aca="false">IF(A101="","",IF(G101&lt;&gt;"","Sold",IF(K101&gt;'Booth Setup'!$C$12,"STALE - mark down","In booth")))</f>
        <v/>
      </c>
      <c r="M101" s="27" t="str">
        <f aca="false">IF(F101="","",DATE(YEAR(F101),MONTH(F101),1))</f>
        <v/>
      </c>
    </row>
    <row r="102" customFormat="false" ht="15" hidden="false" customHeight="false" outlineLevel="0" collapsed="false">
      <c r="A102" s="21"/>
      <c r="B102" s="21"/>
      <c r="C102" s="22"/>
      <c r="D102" s="23"/>
      <c r="E102" s="23"/>
      <c r="F102" s="22"/>
      <c r="G102" s="23"/>
      <c r="H102" s="24" t="str">
        <f aca="false">IF(G102="","",G102*'Booth Setup'!$C$8)</f>
        <v/>
      </c>
      <c r="I102" s="24" t="str">
        <f aca="false">IF(G102="","",G102*'Booth Setup'!$C$9)</f>
        <v/>
      </c>
      <c r="J102" s="24" t="str">
        <f aca="false">IF(G102="","",G102-H102-I102-D102)</f>
        <v/>
      </c>
      <c r="K102" s="25" t="str">
        <f aca="true">IF(C102="","",IF(F102="",TODAY(),F102)-C102)</f>
        <v/>
      </c>
      <c r="L102" s="26" t="str">
        <f aca="false">IF(A102="","",IF(G102&lt;&gt;"","Sold",IF(K102&gt;'Booth Setup'!$C$12,"STALE - mark down","In booth")))</f>
        <v/>
      </c>
      <c r="M102" s="27" t="str">
        <f aca="false">IF(F102="","",DATE(YEAR(F102),MONTH(F102),1))</f>
        <v/>
      </c>
    </row>
    <row r="103" customFormat="false" ht="15" hidden="false" customHeight="false" outlineLevel="0" collapsed="false">
      <c r="A103" s="21"/>
      <c r="B103" s="21"/>
      <c r="C103" s="22"/>
      <c r="D103" s="23"/>
      <c r="E103" s="23"/>
      <c r="F103" s="22"/>
      <c r="G103" s="23"/>
      <c r="H103" s="24" t="str">
        <f aca="false">IF(G103="","",G103*'Booth Setup'!$C$8)</f>
        <v/>
      </c>
      <c r="I103" s="24" t="str">
        <f aca="false">IF(G103="","",G103*'Booth Setup'!$C$9)</f>
        <v/>
      </c>
      <c r="J103" s="24" t="str">
        <f aca="false">IF(G103="","",G103-H103-I103-D103)</f>
        <v/>
      </c>
      <c r="K103" s="25" t="str">
        <f aca="true">IF(C103="","",IF(F103="",TODAY(),F103)-C103)</f>
        <v/>
      </c>
      <c r="L103" s="26" t="str">
        <f aca="false">IF(A103="","",IF(G103&lt;&gt;"","Sold",IF(K103&gt;'Booth Setup'!$C$12,"STALE - mark down","In booth")))</f>
        <v/>
      </c>
      <c r="M103" s="27" t="str">
        <f aca="false">IF(F103="","",DATE(YEAR(F103),MONTH(F103),1))</f>
        <v/>
      </c>
    </row>
    <row r="104" customFormat="false" ht="15" hidden="false" customHeight="false" outlineLevel="0" collapsed="false">
      <c r="A104" s="21"/>
      <c r="B104" s="21"/>
      <c r="C104" s="22"/>
      <c r="D104" s="23"/>
      <c r="E104" s="23"/>
      <c r="F104" s="22"/>
      <c r="G104" s="23"/>
      <c r="H104" s="24" t="str">
        <f aca="false">IF(G104="","",G104*'Booth Setup'!$C$8)</f>
        <v/>
      </c>
      <c r="I104" s="24" t="str">
        <f aca="false">IF(G104="","",G104*'Booth Setup'!$C$9)</f>
        <v/>
      </c>
      <c r="J104" s="24" t="str">
        <f aca="false">IF(G104="","",G104-H104-I104-D104)</f>
        <v/>
      </c>
      <c r="K104" s="25" t="str">
        <f aca="true">IF(C104="","",IF(F104="",TODAY(),F104)-C104)</f>
        <v/>
      </c>
      <c r="L104" s="26" t="str">
        <f aca="false">IF(A104="","",IF(G104&lt;&gt;"","Sold",IF(K104&gt;'Booth Setup'!$C$12,"STALE - mark down","In booth")))</f>
        <v/>
      </c>
      <c r="M104" s="27" t="str">
        <f aca="false">IF(F104="","",DATE(YEAR(F104),MONTH(F104),1))</f>
        <v/>
      </c>
    </row>
    <row r="105" customFormat="false" ht="15" hidden="false" customHeight="false" outlineLevel="0" collapsed="false">
      <c r="A105" s="21"/>
      <c r="B105" s="21"/>
      <c r="C105" s="22"/>
      <c r="D105" s="23"/>
      <c r="E105" s="23"/>
      <c r="F105" s="22"/>
      <c r="G105" s="23"/>
      <c r="H105" s="24" t="str">
        <f aca="false">IF(G105="","",G105*'Booth Setup'!$C$8)</f>
        <v/>
      </c>
      <c r="I105" s="24" t="str">
        <f aca="false">IF(G105="","",G105*'Booth Setup'!$C$9)</f>
        <v/>
      </c>
      <c r="J105" s="24" t="str">
        <f aca="false">IF(G105="","",G105-H105-I105-D105)</f>
        <v/>
      </c>
      <c r="K105" s="25" t="str">
        <f aca="true">IF(C105="","",IF(F105="",TODAY(),F105)-C105)</f>
        <v/>
      </c>
      <c r="L105" s="26" t="str">
        <f aca="false">IF(A105="","",IF(G105&lt;&gt;"","Sold",IF(K105&gt;'Booth Setup'!$C$12,"STALE - mark down","In booth")))</f>
        <v/>
      </c>
      <c r="M105" s="27" t="str">
        <f aca="false">IF(F105="","",DATE(YEAR(F105),MONTH(F105),1))</f>
        <v/>
      </c>
    </row>
    <row r="106" customFormat="false" ht="15" hidden="false" customHeight="false" outlineLevel="0" collapsed="false">
      <c r="A106" s="21"/>
      <c r="B106" s="21"/>
      <c r="C106" s="22"/>
      <c r="D106" s="23"/>
      <c r="E106" s="23"/>
      <c r="F106" s="22"/>
      <c r="G106" s="23"/>
      <c r="H106" s="24" t="str">
        <f aca="false">IF(G106="","",G106*'Booth Setup'!$C$8)</f>
        <v/>
      </c>
      <c r="I106" s="24" t="str">
        <f aca="false">IF(G106="","",G106*'Booth Setup'!$C$9)</f>
        <v/>
      </c>
      <c r="J106" s="24" t="str">
        <f aca="false">IF(G106="","",G106-H106-I106-D106)</f>
        <v/>
      </c>
      <c r="K106" s="25" t="str">
        <f aca="true">IF(C106="","",IF(F106="",TODAY(),F106)-C106)</f>
        <v/>
      </c>
      <c r="L106" s="26" t="str">
        <f aca="false">IF(A106="","",IF(G106&lt;&gt;"","Sold",IF(K106&gt;'Booth Setup'!$C$12,"STALE - mark down","In booth")))</f>
        <v/>
      </c>
      <c r="M106" s="27" t="str">
        <f aca="false">IF(F106="","",DATE(YEAR(F106),MONTH(F106),1))</f>
        <v/>
      </c>
    </row>
    <row r="107" customFormat="false" ht="15" hidden="false" customHeight="false" outlineLevel="0" collapsed="false">
      <c r="A107" s="21"/>
      <c r="B107" s="21"/>
      <c r="C107" s="22"/>
      <c r="D107" s="23"/>
      <c r="E107" s="23"/>
      <c r="F107" s="22"/>
      <c r="G107" s="23"/>
      <c r="H107" s="24" t="str">
        <f aca="false">IF(G107="","",G107*'Booth Setup'!$C$8)</f>
        <v/>
      </c>
      <c r="I107" s="24" t="str">
        <f aca="false">IF(G107="","",G107*'Booth Setup'!$C$9)</f>
        <v/>
      </c>
      <c r="J107" s="24" t="str">
        <f aca="false">IF(G107="","",G107-H107-I107-D107)</f>
        <v/>
      </c>
      <c r="K107" s="25" t="str">
        <f aca="true">IF(C107="","",IF(F107="",TODAY(),F107)-C107)</f>
        <v/>
      </c>
      <c r="L107" s="26" t="str">
        <f aca="false">IF(A107="","",IF(G107&lt;&gt;"","Sold",IF(K107&gt;'Booth Setup'!$C$12,"STALE - mark down","In booth")))</f>
        <v/>
      </c>
      <c r="M107" s="27" t="str">
        <f aca="false">IF(F107="","",DATE(YEAR(F107),MONTH(F107),1))</f>
        <v/>
      </c>
    </row>
    <row r="108" customFormat="false" ht="15" hidden="false" customHeight="false" outlineLevel="0" collapsed="false">
      <c r="A108" s="21"/>
      <c r="B108" s="21"/>
      <c r="C108" s="22"/>
      <c r="D108" s="23"/>
      <c r="E108" s="23"/>
      <c r="F108" s="22"/>
      <c r="G108" s="23"/>
      <c r="H108" s="24" t="str">
        <f aca="false">IF(G108="","",G108*'Booth Setup'!$C$8)</f>
        <v/>
      </c>
      <c r="I108" s="24" t="str">
        <f aca="false">IF(G108="","",G108*'Booth Setup'!$C$9)</f>
        <v/>
      </c>
      <c r="J108" s="24" t="str">
        <f aca="false">IF(G108="","",G108-H108-I108-D108)</f>
        <v/>
      </c>
      <c r="K108" s="25" t="str">
        <f aca="true">IF(C108="","",IF(F108="",TODAY(),F108)-C108)</f>
        <v/>
      </c>
      <c r="L108" s="26" t="str">
        <f aca="false">IF(A108="","",IF(G108&lt;&gt;"","Sold",IF(K108&gt;'Booth Setup'!$C$12,"STALE - mark down","In booth")))</f>
        <v/>
      </c>
      <c r="M108" s="27" t="str">
        <f aca="false">IF(F108="","",DATE(YEAR(F108),MONTH(F108),1))</f>
        <v/>
      </c>
    </row>
    <row r="109" customFormat="false" ht="15" hidden="false" customHeight="false" outlineLevel="0" collapsed="false">
      <c r="A109" s="21"/>
      <c r="B109" s="21"/>
      <c r="C109" s="22"/>
      <c r="D109" s="23"/>
      <c r="E109" s="23"/>
      <c r="F109" s="22"/>
      <c r="G109" s="23"/>
      <c r="H109" s="24" t="str">
        <f aca="false">IF(G109="","",G109*'Booth Setup'!$C$8)</f>
        <v/>
      </c>
      <c r="I109" s="24" t="str">
        <f aca="false">IF(G109="","",G109*'Booth Setup'!$C$9)</f>
        <v/>
      </c>
      <c r="J109" s="24" t="str">
        <f aca="false">IF(G109="","",G109-H109-I109-D109)</f>
        <v/>
      </c>
      <c r="K109" s="25" t="str">
        <f aca="true">IF(C109="","",IF(F109="",TODAY(),F109)-C109)</f>
        <v/>
      </c>
      <c r="L109" s="26" t="str">
        <f aca="false">IF(A109="","",IF(G109&lt;&gt;"","Sold",IF(K109&gt;'Booth Setup'!$C$12,"STALE - mark down","In booth")))</f>
        <v/>
      </c>
      <c r="M109" s="27" t="str">
        <f aca="false">IF(F109="","",DATE(YEAR(F109),MONTH(F109),1))</f>
        <v/>
      </c>
    </row>
    <row r="110" customFormat="false" ht="15" hidden="false" customHeight="false" outlineLevel="0" collapsed="false">
      <c r="A110" s="21"/>
      <c r="B110" s="21"/>
      <c r="C110" s="22"/>
      <c r="D110" s="23"/>
      <c r="E110" s="23"/>
      <c r="F110" s="22"/>
      <c r="G110" s="23"/>
      <c r="H110" s="24" t="str">
        <f aca="false">IF(G110="","",G110*'Booth Setup'!$C$8)</f>
        <v/>
      </c>
      <c r="I110" s="24" t="str">
        <f aca="false">IF(G110="","",G110*'Booth Setup'!$C$9)</f>
        <v/>
      </c>
      <c r="J110" s="24" t="str">
        <f aca="false">IF(G110="","",G110-H110-I110-D110)</f>
        <v/>
      </c>
      <c r="K110" s="25" t="str">
        <f aca="true">IF(C110="","",IF(F110="",TODAY(),F110)-C110)</f>
        <v/>
      </c>
      <c r="L110" s="26" t="str">
        <f aca="false">IF(A110="","",IF(G110&lt;&gt;"","Sold",IF(K110&gt;'Booth Setup'!$C$12,"STALE - mark down","In booth")))</f>
        <v/>
      </c>
      <c r="M110" s="27" t="str">
        <f aca="false">IF(F110="","",DATE(YEAR(F110),MONTH(F110),1))</f>
        <v/>
      </c>
    </row>
    <row r="111" customFormat="false" ht="15" hidden="false" customHeight="false" outlineLevel="0" collapsed="false">
      <c r="A111" s="21"/>
      <c r="B111" s="21"/>
      <c r="C111" s="22"/>
      <c r="D111" s="23"/>
      <c r="E111" s="23"/>
      <c r="F111" s="22"/>
      <c r="G111" s="23"/>
      <c r="H111" s="24" t="str">
        <f aca="false">IF(G111="","",G111*'Booth Setup'!$C$8)</f>
        <v/>
      </c>
      <c r="I111" s="24" t="str">
        <f aca="false">IF(G111="","",G111*'Booth Setup'!$C$9)</f>
        <v/>
      </c>
      <c r="J111" s="24" t="str">
        <f aca="false">IF(G111="","",G111-H111-I111-D111)</f>
        <v/>
      </c>
      <c r="K111" s="25" t="str">
        <f aca="true">IF(C111="","",IF(F111="",TODAY(),F111)-C111)</f>
        <v/>
      </c>
      <c r="L111" s="26" t="str">
        <f aca="false">IF(A111="","",IF(G111&lt;&gt;"","Sold",IF(K111&gt;'Booth Setup'!$C$12,"STALE - mark down","In booth")))</f>
        <v/>
      </c>
      <c r="M111" s="27" t="str">
        <f aca="false">IF(F111="","",DATE(YEAR(F111),MONTH(F111),1))</f>
        <v/>
      </c>
    </row>
    <row r="112" customFormat="false" ht="15" hidden="false" customHeight="false" outlineLevel="0" collapsed="false">
      <c r="A112" s="21"/>
      <c r="B112" s="21"/>
      <c r="C112" s="22"/>
      <c r="D112" s="23"/>
      <c r="E112" s="23"/>
      <c r="F112" s="22"/>
      <c r="G112" s="23"/>
      <c r="H112" s="24" t="str">
        <f aca="false">IF(G112="","",G112*'Booth Setup'!$C$8)</f>
        <v/>
      </c>
      <c r="I112" s="24" t="str">
        <f aca="false">IF(G112="","",G112*'Booth Setup'!$C$9)</f>
        <v/>
      </c>
      <c r="J112" s="24" t="str">
        <f aca="false">IF(G112="","",G112-H112-I112-D112)</f>
        <v/>
      </c>
      <c r="K112" s="25" t="str">
        <f aca="true">IF(C112="","",IF(F112="",TODAY(),F112)-C112)</f>
        <v/>
      </c>
      <c r="L112" s="26" t="str">
        <f aca="false">IF(A112="","",IF(G112&lt;&gt;"","Sold",IF(K112&gt;'Booth Setup'!$C$12,"STALE - mark down","In booth")))</f>
        <v/>
      </c>
      <c r="M112" s="27" t="str">
        <f aca="false">IF(F112="","",DATE(YEAR(F112),MONTH(F112),1))</f>
        <v/>
      </c>
    </row>
    <row r="113" customFormat="false" ht="15" hidden="false" customHeight="false" outlineLevel="0" collapsed="false">
      <c r="A113" s="21"/>
      <c r="B113" s="21"/>
      <c r="C113" s="22"/>
      <c r="D113" s="23"/>
      <c r="E113" s="23"/>
      <c r="F113" s="22"/>
      <c r="G113" s="23"/>
      <c r="H113" s="24" t="str">
        <f aca="false">IF(G113="","",G113*'Booth Setup'!$C$8)</f>
        <v/>
      </c>
      <c r="I113" s="24" t="str">
        <f aca="false">IF(G113="","",G113*'Booth Setup'!$C$9)</f>
        <v/>
      </c>
      <c r="J113" s="24" t="str">
        <f aca="false">IF(G113="","",G113-H113-I113-D113)</f>
        <v/>
      </c>
      <c r="K113" s="25" t="str">
        <f aca="true">IF(C113="","",IF(F113="",TODAY(),F113)-C113)</f>
        <v/>
      </c>
      <c r="L113" s="26" t="str">
        <f aca="false">IF(A113="","",IF(G113&lt;&gt;"","Sold",IF(K113&gt;'Booth Setup'!$C$12,"STALE - mark down","In booth")))</f>
        <v/>
      </c>
      <c r="M113" s="27" t="str">
        <f aca="false">IF(F113="","",DATE(YEAR(F113),MONTH(F113),1))</f>
        <v/>
      </c>
    </row>
    <row r="114" customFormat="false" ht="15" hidden="false" customHeight="false" outlineLevel="0" collapsed="false">
      <c r="A114" s="21"/>
      <c r="B114" s="21"/>
      <c r="C114" s="22"/>
      <c r="D114" s="23"/>
      <c r="E114" s="23"/>
      <c r="F114" s="22"/>
      <c r="G114" s="23"/>
      <c r="H114" s="24" t="str">
        <f aca="false">IF(G114="","",G114*'Booth Setup'!$C$8)</f>
        <v/>
      </c>
      <c r="I114" s="24" t="str">
        <f aca="false">IF(G114="","",G114*'Booth Setup'!$C$9)</f>
        <v/>
      </c>
      <c r="J114" s="24" t="str">
        <f aca="false">IF(G114="","",G114-H114-I114-D114)</f>
        <v/>
      </c>
      <c r="K114" s="25" t="str">
        <f aca="true">IF(C114="","",IF(F114="",TODAY(),F114)-C114)</f>
        <v/>
      </c>
      <c r="L114" s="26" t="str">
        <f aca="false">IF(A114="","",IF(G114&lt;&gt;"","Sold",IF(K114&gt;'Booth Setup'!$C$12,"STALE - mark down","In booth")))</f>
        <v/>
      </c>
      <c r="M114" s="27" t="str">
        <f aca="false">IF(F114="","",DATE(YEAR(F114),MONTH(F114),1))</f>
        <v/>
      </c>
    </row>
    <row r="115" customFormat="false" ht="15" hidden="false" customHeight="false" outlineLevel="0" collapsed="false">
      <c r="A115" s="21"/>
      <c r="B115" s="21"/>
      <c r="C115" s="22"/>
      <c r="D115" s="23"/>
      <c r="E115" s="23"/>
      <c r="F115" s="22"/>
      <c r="G115" s="23"/>
      <c r="H115" s="24" t="str">
        <f aca="false">IF(G115="","",G115*'Booth Setup'!$C$8)</f>
        <v/>
      </c>
      <c r="I115" s="24" t="str">
        <f aca="false">IF(G115="","",G115*'Booth Setup'!$C$9)</f>
        <v/>
      </c>
      <c r="J115" s="24" t="str">
        <f aca="false">IF(G115="","",G115-H115-I115-D115)</f>
        <v/>
      </c>
      <c r="K115" s="25" t="str">
        <f aca="true">IF(C115="","",IF(F115="",TODAY(),F115)-C115)</f>
        <v/>
      </c>
      <c r="L115" s="26" t="str">
        <f aca="false">IF(A115="","",IF(G115&lt;&gt;"","Sold",IF(K115&gt;'Booth Setup'!$C$12,"STALE - mark down","In booth")))</f>
        <v/>
      </c>
      <c r="M115" s="27" t="str">
        <f aca="false">IF(F115="","",DATE(YEAR(F115),MONTH(F115),1))</f>
        <v/>
      </c>
    </row>
    <row r="116" customFormat="false" ht="15" hidden="false" customHeight="false" outlineLevel="0" collapsed="false">
      <c r="A116" s="21"/>
      <c r="B116" s="21"/>
      <c r="C116" s="22"/>
      <c r="D116" s="23"/>
      <c r="E116" s="23"/>
      <c r="F116" s="22"/>
      <c r="G116" s="23"/>
      <c r="H116" s="24" t="str">
        <f aca="false">IF(G116="","",G116*'Booth Setup'!$C$8)</f>
        <v/>
      </c>
      <c r="I116" s="24" t="str">
        <f aca="false">IF(G116="","",G116*'Booth Setup'!$C$9)</f>
        <v/>
      </c>
      <c r="J116" s="24" t="str">
        <f aca="false">IF(G116="","",G116-H116-I116-D116)</f>
        <v/>
      </c>
      <c r="K116" s="25" t="str">
        <f aca="true">IF(C116="","",IF(F116="",TODAY(),F116)-C116)</f>
        <v/>
      </c>
      <c r="L116" s="26" t="str">
        <f aca="false">IF(A116="","",IF(G116&lt;&gt;"","Sold",IF(K116&gt;'Booth Setup'!$C$12,"STALE - mark down","In booth")))</f>
        <v/>
      </c>
      <c r="M116" s="27" t="str">
        <f aca="false">IF(F116="","",DATE(YEAR(F116),MONTH(F116),1))</f>
        <v/>
      </c>
    </row>
    <row r="117" customFormat="false" ht="15" hidden="false" customHeight="false" outlineLevel="0" collapsed="false">
      <c r="A117" s="21"/>
      <c r="B117" s="21"/>
      <c r="C117" s="22"/>
      <c r="D117" s="23"/>
      <c r="E117" s="23"/>
      <c r="F117" s="22"/>
      <c r="G117" s="23"/>
      <c r="H117" s="24" t="str">
        <f aca="false">IF(G117="","",G117*'Booth Setup'!$C$8)</f>
        <v/>
      </c>
      <c r="I117" s="24" t="str">
        <f aca="false">IF(G117="","",G117*'Booth Setup'!$C$9)</f>
        <v/>
      </c>
      <c r="J117" s="24" t="str">
        <f aca="false">IF(G117="","",G117-H117-I117-D117)</f>
        <v/>
      </c>
      <c r="K117" s="25" t="str">
        <f aca="true">IF(C117="","",IF(F117="",TODAY(),F117)-C117)</f>
        <v/>
      </c>
      <c r="L117" s="26" t="str">
        <f aca="false">IF(A117="","",IF(G117&lt;&gt;"","Sold",IF(K117&gt;'Booth Setup'!$C$12,"STALE - mark down","In booth")))</f>
        <v/>
      </c>
      <c r="M117" s="27" t="str">
        <f aca="false">IF(F117="","",DATE(YEAR(F117),MONTH(F117),1))</f>
        <v/>
      </c>
    </row>
    <row r="118" customFormat="false" ht="15" hidden="false" customHeight="false" outlineLevel="0" collapsed="false">
      <c r="A118" s="21"/>
      <c r="B118" s="21"/>
      <c r="C118" s="22"/>
      <c r="D118" s="23"/>
      <c r="E118" s="23"/>
      <c r="F118" s="22"/>
      <c r="G118" s="23"/>
      <c r="H118" s="24" t="str">
        <f aca="false">IF(G118="","",G118*'Booth Setup'!$C$8)</f>
        <v/>
      </c>
      <c r="I118" s="24" t="str">
        <f aca="false">IF(G118="","",G118*'Booth Setup'!$C$9)</f>
        <v/>
      </c>
      <c r="J118" s="24" t="str">
        <f aca="false">IF(G118="","",G118-H118-I118-D118)</f>
        <v/>
      </c>
      <c r="K118" s="25" t="str">
        <f aca="true">IF(C118="","",IF(F118="",TODAY(),F118)-C118)</f>
        <v/>
      </c>
      <c r="L118" s="26" t="str">
        <f aca="false">IF(A118="","",IF(G118&lt;&gt;"","Sold",IF(K118&gt;'Booth Setup'!$C$12,"STALE - mark down","In booth")))</f>
        <v/>
      </c>
      <c r="M118" s="27" t="str">
        <f aca="false">IF(F118="","",DATE(YEAR(F118),MONTH(F118),1))</f>
        <v/>
      </c>
    </row>
    <row r="119" customFormat="false" ht="15" hidden="false" customHeight="false" outlineLevel="0" collapsed="false">
      <c r="A119" s="21"/>
      <c r="B119" s="21"/>
      <c r="C119" s="22"/>
      <c r="D119" s="23"/>
      <c r="E119" s="23"/>
      <c r="F119" s="22"/>
      <c r="G119" s="23"/>
      <c r="H119" s="24" t="str">
        <f aca="false">IF(G119="","",G119*'Booth Setup'!$C$8)</f>
        <v/>
      </c>
      <c r="I119" s="24" t="str">
        <f aca="false">IF(G119="","",G119*'Booth Setup'!$C$9)</f>
        <v/>
      </c>
      <c r="J119" s="24" t="str">
        <f aca="false">IF(G119="","",G119-H119-I119-D119)</f>
        <v/>
      </c>
      <c r="K119" s="25" t="str">
        <f aca="true">IF(C119="","",IF(F119="",TODAY(),F119)-C119)</f>
        <v/>
      </c>
      <c r="L119" s="26" t="str">
        <f aca="false">IF(A119="","",IF(G119&lt;&gt;"","Sold",IF(K119&gt;'Booth Setup'!$C$12,"STALE - mark down","In booth")))</f>
        <v/>
      </c>
      <c r="M119" s="27" t="str">
        <f aca="false">IF(F119="","",DATE(YEAR(F119),MONTH(F119),1))</f>
        <v/>
      </c>
    </row>
    <row r="120" customFormat="false" ht="15" hidden="false" customHeight="false" outlineLevel="0" collapsed="false">
      <c r="A120" s="21"/>
      <c r="B120" s="21"/>
      <c r="C120" s="22"/>
      <c r="D120" s="23"/>
      <c r="E120" s="23"/>
      <c r="F120" s="22"/>
      <c r="G120" s="23"/>
      <c r="H120" s="24" t="str">
        <f aca="false">IF(G120="","",G120*'Booth Setup'!$C$8)</f>
        <v/>
      </c>
      <c r="I120" s="24" t="str">
        <f aca="false">IF(G120="","",G120*'Booth Setup'!$C$9)</f>
        <v/>
      </c>
      <c r="J120" s="24" t="str">
        <f aca="false">IF(G120="","",G120-H120-I120-D120)</f>
        <v/>
      </c>
      <c r="K120" s="25" t="str">
        <f aca="true">IF(C120="","",IF(F120="",TODAY(),F120)-C120)</f>
        <v/>
      </c>
      <c r="L120" s="26" t="str">
        <f aca="false">IF(A120="","",IF(G120&lt;&gt;"","Sold",IF(K120&gt;'Booth Setup'!$C$12,"STALE - mark down","In booth")))</f>
        <v/>
      </c>
      <c r="M120" s="27" t="str">
        <f aca="false">IF(F120="","",DATE(YEAR(F120),MONTH(F120),1))</f>
        <v/>
      </c>
    </row>
    <row r="121" customFormat="false" ht="15" hidden="false" customHeight="false" outlineLevel="0" collapsed="false">
      <c r="A121" s="21"/>
      <c r="B121" s="21"/>
      <c r="C121" s="22"/>
      <c r="D121" s="23"/>
      <c r="E121" s="23"/>
      <c r="F121" s="22"/>
      <c r="G121" s="23"/>
      <c r="H121" s="24" t="str">
        <f aca="false">IF(G121="","",G121*'Booth Setup'!$C$8)</f>
        <v/>
      </c>
      <c r="I121" s="24" t="str">
        <f aca="false">IF(G121="","",G121*'Booth Setup'!$C$9)</f>
        <v/>
      </c>
      <c r="J121" s="24" t="str">
        <f aca="false">IF(G121="","",G121-H121-I121-D121)</f>
        <v/>
      </c>
      <c r="K121" s="25" t="str">
        <f aca="true">IF(C121="","",IF(F121="",TODAY(),F121)-C121)</f>
        <v/>
      </c>
      <c r="L121" s="26" t="str">
        <f aca="false">IF(A121="","",IF(G121&lt;&gt;"","Sold",IF(K121&gt;'Booth Setup'!$C$12,"STALE - mark down","In booth")))</f>
        <v/>
      </c>
      <c r="M121" s="27" t="str">
        <f aca="false">IF(F121="","",DATE(YEAR(F121),MONTH(F121),1))</f>
        <v/>
      </c>
    </row>
    <row r="122" customFormat="false" ht="15" hidden="false" customHeight="false" outlineLevel="0" collapsed="false">
      <c r="A122" s="21"/>
      <c r="B122" s="21"/>
      <c r="C122" s="22"/>
      <c r="D122" s="23"/>
      <c r="E122" s="23"/>
      <c r="F122" s="22"/>
      <c r="G122" s="23"/>
      <c r="H122" s="24" t="str">
        <f aca="false">IF(G122="","",G122*'Booth Setup'!$C$8)</f>
        <v/>
      </c>
      <c r="I122" s="24" t="str">
        <f aca="false">IF(G122="","",G122*'Booth Setup'!$C$9)</f>
        <v/>
      </c>
      <c r="J122" s="24" t="str">
        <f aca="false">IF(G122="","",G122-H122-I122-D122)</f>
        <v/>
      </c>
      <c r="K122" s="25" t="str">
        <f aca="true">IF(C122="","",IF(F122="",TODAY(),F122)-C122)</f>
        <v/>
      </c>
      <c r="L122" s="26" t="str">
        <f aca="false">IF(A122="","",IF(G122&lt;&gt;"","Sold",IF(K122&gt;'Booth Setup'!$C$12,"STALE - mark down","In booth")))</f>
        <v/>
      </c>
      <c r="M122" s="27" t="str">
        <f aca="false">IF(F122="","",DATE(YEAR(F122),MONTH(F122),1))</f>
        <v/>
      </c>
    </row>
    <row r="123" customFormat="false" ht="15" hidden="false" customHeight="false" outlineLevel="0" collapsed="false">
      <c r="A123" s="21"/>
      <c r="B123" s="21"/>
      <c r="C123" s="22"/>
      <c r="D123" s="23"/>
      <c r="E123" s="23"/>
      <c r="F123" s="22"/>
      <c r="G123" s="23"/>
      <c r="H123" s="24" t="str">
        <f aca="false">IF(G123="","",G123*'Booth Setup'!$C$8)</f>
        <v/>
      </c>
      <c r="I123" s="24" t="str">
        <f aca="false">IF(G123="","",G123*'Booth Setup'!$C$9)</f>
        <v/>
      </c>
      <c r="J123" s="24" t="str">
        <f aca="false">IF(G123="","",G123-H123-I123-D123)</f>
        <v/>
      </c>
      <c r="K123" s="25" t="str">
        <f aca="true">IF(C123="","",IF(F123="",TODAY(),F123)-C123)</f>
        <v/>
      </c>
      <c r="L123" s="26" t="str">
        <f aca="false">IF(A123="","",IF(G123&lt;&gt;"","Sold",IF(K123&gt;'Booth Setup'!$C$12,"STALE - mark down","In booth")))</f>
        <v/>
      </c>
      <c r="M123" s="27" t="str">
        <f aca="false">IF(F123="","",DATE(YEAR(F123),MONTH(F123),1))</f>
        <v/>
      </c>
    </row>
    <row r="124" customFormat="false" ht="15" hidden="false" customHeight="false" outlineLevel="0" collapsed="false">
      <c r="A124" s="21"/>
      <c r="B124" s="21"/>
      <c r="C124" s="22"/>
      <c r="D124" s="23"/>
      <c r="E124" s="23"/>
      <c r="F124" s="22"/>
      <c r="G124" s="23"/>
      <c r="H124" s="24" t="str">
        <f aca="false">IF(G124="","",G124*'Booth Setup'!$C$8)</f>
        <v/>
      </c>
      <c r="I124" s="24" t="str">
        <f aca="false">IF(G124="","",G124*'Booth Setup'!$C$9)</f>
        <v/>
      </c>
      <c r="J124" s="24" t="str">
        <f aca="false">IF(G124="","",G124-H124-I124-D124)</f>
        <v/>
      </c>
      <c r="K124" s="25" t="str">
        <f aca="true">IF(C124="","",IF(F124="",TODAY(),F124)-C124)</f>
        <v/>
      </c>
      <c r="L124" s="26" t="str">
        <f aca="false">IF(A124="","",IF(G124&lt;&gt;"","Sold",IF(K124&gt;'Booth Setup'!$C$12,"STALE - mark down","In booth")))</f>
        <v/>
      </c>
      <c r="M124" s="27" t="str">
        <f aca="false">IF(F124="","",DATE(YEAR(F124),MONTH(F124),1))</f>
        <v/>
      </c>
    </row>
    <row r="125" customFormat="false" ht="15" hidden="false" customHeight="false" outlineLevel="0" collapsed="false">
      <c r="A125" s="21"/>
      <c r="B125" s="21"/>
      <c r="C125" s="22"/>
      <c r="D125" s="23"/>
      <c r="E125" s="23"/>
      <c r="F125" s="22"/>
      <c r="G125" s="23"/>
      <c r="H125" s="24" t="str">
        <f aca="false">IF(G125="","",G125*'Booth Setup'!$C$8)</f>
        <v/>
      </c>
      <c r="I125" s="24" t="str">
        <f aca="false">IF(G125="","",G125*'Booth Setup'!$C$9)</f>
        <v/>
      </c>
      <c r="J125" s="24" t="str">
        <f aca="false">IF(G125="","",G125-H125-I125-D125)</f>
        <v/>
      </c>
      <c r="K125" s="25" t="str">
        <f aca="true">IF(C125="","",IF(F125="",TODAY(),F125)-C125)</f>
        <v/>
      </c>
      <c r="L125" s="26" t="str">
        <f aca="false">IF(A125="","",IF(G125&lt;&gt;"","Sold",IF(K125&gt;'Booth Setup'!$C$12,"STALE - mark down","In booth")))</f>
        <v/>
      </c>
      <c r="M125" s="27" t="str">
        <f aca="false">IF(F125="","",DATE(YEAR(F125),MONTH(F125),1))</f>
        <v/>
      </c>
    </row>
    <row r="126" customFormat="false" ht="15" hidden="false" customHeight="false" outlineLevel="0" collapsed="false">
      <c r="A126" s="21"/>
      <c r="B126" s="21"/>
      <c r="C126" s="22"/>
      <c r="D126" s="23"/>
      <c r="E126" s="23"/>
      <c r="F126" s="22"/>
      <c r="G126" s="23"/>
      <c r="H126" s="24" t="str">
        <f aca="false">IF(G126="","",G126*'Booth Setup'!$C$8)</f>
        <v/>
      </c>
      <c r="I126" s="24" t="str">
        <f aca="false">IF(G126="","",G126*'Booth Setup'!$C$9)</f>
        <v/>
      </c>
      <c r="J126" s="24" t="str">
        <f aca="false">IF(G126="","",G126-H126-I126-D126)</f>
        <v/>
      </c>
      <c r="K126" s="25" t="str">
        <f aca="true">IF(C126="","",IF(F126="",TODAY(),F126)-C126)</f>
        <v/>
      </c>
      <c r="L126" s="26" t="str">
        <f aca="false">IF(A126="","",IF(G126&lt;&gt;"","Sold",IF(K126&gt;'Booth Setup'!$C$12,"STALE - mark down","In booth")))</f>
        <v/>
      </c>
      <c r="M126" s="27" t="str">
        <f aca="false">IF(F126="","",DATE(YEAR(F126),MONTH(F126),1))</f>
        <v/>
      </c>
    </row>
    <row r="127" customFormat="false" ht="15" hidden="false" customHeight="false" outlineLevel="0" collapsed="false">
      <c r="A127" s="21"/>
      <c r="B127" s="21"/>
      <c r="C127" s="22"/>
      <c r="D127" s="23"/>
      <c r="E127" s="23"/>
      <c r="F127" s="22"/>
      <c r="G127" s="23"/>
      <c r="H127" s="24" t="str">
        <f aca="false">IF(G127="","",G127*'Booth Setup'!$C$8)</f>
        <v/>
      </c>
      <c r="I127" s="24" t="str">
        <f aca="false">IF(G127="","",G127*'Booth Setup'!$C$9)</f>
        <v/>
      </c>
      <c r="J127" s="24" t="str">
        <f aca="false">IF(G127="","",G127-H127-I127-D127)</f>
        <v/>
      </c>
      <c r="K127" s="25" t="str">
        <f aca="true">IF(C127="","",IF(F127="",TODAY(),F127)-C127)</f>
        <v/>
      </c>
      <c r="L127" s="26" t="str">
        <f aca="false">IF(A127="","",IF(G127&lt;&gt;"","Sold",IF(K127&gt;'Booth Setup'!$C$12,"STALE - mark down","In booth")))</f>
        <v/>
      </c>
      <c r="M127" s="27" t="str">
        <f aca="false">IF(F127="","",DATE(YEAR(F127),MONTH(F127),1))</f>
        <v/>
      </c>
    </row>
    <row r="128" customFormat="false" ht="15" hidden="false" customHeight="false" outlineLevel="0" collapsed="false">
      <c r="A128" s="21"/>
      <c r="B128" s="21"/>
      <c r="C128" s="22"/>
      <c r="D128" s="23"/>
      <c r="E128" s="23"/>
      <c r="F128" s="22"/>
      <c r="G128" s="23"/>
      <c r="H128" s="24" t="str">
        <f aca="false">IF(G128="","",G128*'Booth Setup'!$C$8)</f>
        <v/>
      </c>
      <c r="I128" s="24" t="str">
        <f aca="false">IF(G128="","",G128*'Booth Setup'!$C$9)</f>
        <v/>
      </c>
      <c r="J128" s="24" t="str">
        <f aca="false">IF(G128="","",G128-H128-I128-D128)</f>
        <v/>
      </c>
      <c r="K128" s="25" t="str">
        <f aca="true">IF(C128="","",IF(F128="",TODAY(),F128)-C128)</f>
        <v/>
      </c>
      <c r="L128" s="26" t="str">
        <f aca="false">IF(A128="","",IF(G128&lt;&gt;"","Sold",IF(K128&gt;'Booth Setup'!$C$12,"STALE - mark down","In booth")))</f>
        <v/>
      </c>
      <c r="M128" s="27" t="str">
        <f aca="false">IF(F128="","",DATE(YEAR(F128),MONTH(F128),1))</f>
        <v/>
      </c>
    </row>
    <row r="129" customFormat="false" ht="15" hidden="false" customHeight="false" outlineLevel="0" collapsed="false">
      <c r="A129" s="21"/>
      <c r="B129" s="21"/>
      <c r="C129" s="22"/>
      <c r="D129" s="23"/>
      <c r="E129" s="23"/>
      <c r="F129" s="22"/>
      <c r="G129" s="23"/>
      <c r="H129" s="24" t="str">
        <f aca="false">IF(G129="","",G129*'Booth Setup'!$C$8)</f>
        <v/>
      </c>
      <c r="I129" s="24" t="str">
        <f aca="false">IF(G129="","",G129*'Booth Setup'!$C$9)</f>
        <v/>
      </c>
      <c r="J129" s="24" t="str">
        <f aca="false">IF(G129="","",G129-H129-I129-D129)</f>
        <v/>
      </c>
      <c r="K129" s="25" t="str">
        <f aca="true">IF(C129="","",IF(F129="",TODAY(),F129)-C129)</f>
        <v/>
      </c>
      <c r="L129" s="26" t="str">
        <f aca="false">IF(A129="","",IF(G129&lt;&gt;"","Sold",IF(K129&gt;'Booth Setup'!$C$12,"STALE - mark down","In booth")))</f>
        <v/>
      </c>
      <c r="M129" s="27" t="str">
        <f aca="false">IF(F129="","",DATE(YEAR(F129),MONTH(F129),1))</f>
        <v/>
      </c>
    </row>
    <row r="130" customFormat="false" ht="15" hidden="false" customHeight="false" outlineLevel="0" collapsed="false">
      <c r="A130" s="21"/>
      <c r="B130" s="21"/>
      <c r="C130" s="22"/>
      <c r="D130" s="23"/>
      <c r="E130" s="23"/>
      <c r="F130" s="22"/>
      <c r="G130" s="23"/>
      <c r="H130" s="24" t="str">
        <f aca="false">IF(G130="","",G130*'Booth Setup'!$C$8)</f>
        <v/>
      </c>
      <c r="I130" s="24" t="str">
        <f aca="false">IF(G130="","",G130*'Booth Setup'!$C$9)</f>
        <v/>
      </c>
      <c r="J130" s="24" t="str">
        <f aca="false">IF(G130="","",G130-H130-I130-D130)</f>
        <v/>
      </c>
      <c r="K130" s="25" t="str">
        <f aca="true">IF(C130="","",IF(F130="",TODAY(),F130)-C130)</f>
        <v/>
      </c>
      <c r="L130" s="26" t="str">
        <f aca="false">IF(A130="","",IF(G130&lt;&gt;"","Sold",IF(K130&gt;'Booth Setup'!$C$12,"STALE - mark down","In booth")))</f>
        <v/>
      </c>
      <c r="M130" s="27" t="str">
        <f aca="false">IF(F130="","",DATE(YEAR(F130),MONTH(F130),1))</f>
        <v/>
      </c>
    </row>
    <row r="131" customFormat="false" ht="15" hidden="false" customHeight="false" outlineLevel="0" collapsed="false">
      <c r="A131" s="21"/>
      <c r="B131" s="21"/>
      <c r="C131" s="22"/>
      <c r="D131" s="23"/>
      <c r="E131" s="23"/>
      <c r="F131" s="22"/>
      <c r="G131" s="23"/>
      <c r="H131" s="24" t="str">
        <f aca="false">IF(G131="","",G131*'Booth Setup'!$C$8)</f>
        <v/>
      </c>
      <c r="I131" s="24" t="str">
        <f aca="false">IF(G131="","",G131*'Booth Setup'!$C$9)</f>
        <v/>
      </c>
      <c r="J131" s="24" t="str">
        <f aca="false">IF(G131="","",G131-H131-I131-D131)</f>
        <v/>
      </c>
      <c r="K131" s="25" t="str">
        <f aca="true">IF(C131="","",IF(F131="",TODAY(),F131)-C131)</f>
        <v/>
      </c>
      <c r="L131" s="26" t="str">
        <f aca="false">IF(A131="","",IF(G131&lt;&gt;"","Sold",IF(K131&gt;'Booth Setup'!$C$12,"STALE - mark down","In booth")))</f>
        <v/>
      </c>
      <c r="M131" s="27" t="str">
        <f aca="false">IF(F131="","",DATE(YEAR(F131),MONTH(F131),1))</f>
        <v/>
      </c>
    </row>
    <row r="132" customFormat="false" ht="15" hidden="false" customHeight="false" outlineLevel="0" collapsed="false">
      <c r="A132" s="21"/>
      <c r="B132" s="21"/>
      <c r="C132" s="22"/>
      <c r="D132" s="23"/>
      <c r="E132" s="23"/>
      <c r="F132" s="22"/>
      <c r="G132" s="23"/>
      <c r="H132" s="24" t="str">
        <f aca="false">IF(G132="","",G132*'Booth Setup'!$C$8)</f>
        <v/>
      </c>
      <c r="I132" s="24" t="str">
        <f aca="false">IF(G132="","",G132*'Booth Setup'!$C$9)</f>
        <v/>
      </c>
      <c r="J132" s="24" t="str">
        <f aca="false">IF(G132="","",G132-H132-I132-D132)</f>
        <v/>
      </c>
      <c r="K132" s="25" t="str">
        <f aca="true">IF(C132="","",IF(F132="",TODAY(),F132)-C132)</f>
        <v/>
      </c>
      <c r="L132" s="26" t="str">
        <f aca="false">IF(A132="","",IF(G132&lt;&gt;"","Sold",IF(K132&gt;'Booth Setup'!$C$12,"STALE - mark down","In booth")))</f>
        <v/>
      </c>
      <c r="M132" s="27" t="str">
        <f aca="false">IF(F132="","",DATE(YEAR(F132),MONTH(F132),1))</f>
        <v/>
      </c>
    </row>
    <row r="133" customFormat="false" ht="15" hidden="false" customHeight="false" outlineLevel="0" collapsed="false">
      <c r="A133" s="21"/>
      <c r="B133" s="21"/>
      <c r="C133" s="22"/>
      <c r="D133" s="23"/>
      <c r="E133" s="23"/>
      <c r="F133" s="22"/>
      <c r="G133" s="23"/>
      <c r="H133" s="24" t="str">
        <f aca="false">IF(G133="","",G133*'Booth Setup'!$C$8)</f>
        <v/>
      </c>
      <c r="I133" s="24" t="str">
        <f aca="false">IF(G133="","",G133*'Booth Setup'!$C$9)</f>
        <v/>
      </c>
      <c r="J133" s="24" t="str">
        <f aca="false">IF(G133="","",G133-H133-I133-D133)</f>
        <v/>
      </c>
      <c r="K133" s="25" t="str">
        <f aca="true">IF(C133="","",IF(F133="",TODAY(),F133)-C133)</f>
        <v/>
      </c>
      <c r="L133" s="26" t="str">
        <f aca="false">IF(A133="","",IF(G133&lt;&gt;"","Sold",IF(K133&gt;'Booth Setup'!$C$12,"STALE - mark down","In booth")))</f>
        <v/>
      </c>
      <c r="M133" s="27" t="str">
        <f aca="false">IF(F133="","",DATE(YEAR(F133),MONTH(F133),1))</f>
        <v/>
      </c>
    </row>
    <row r="134" customFormat="false" ht="15" hidden="false" customHeight="false" outlineLevel="0" collapsed="false">
      <c r="A134" s="21"/>
      <c r="B134" s="21"/>
      <c r="C134" s="22"/>
      <c r="D134" s="23"/>
      <c r="E134" s="23"/>
      <c r="F134" s="22"/>
      <c r="G134" s="23"/>
      <c r="H134" s="24" t="str">
        <f aca="false">IF(G134="","",G134*'Booth Setup'!$C$8)</f>
        <v/>
      </c>
      <c r="I134" s="24" t="str">
        <f aca="false">IF(G134="","",G134*'Booth Setup'!$C$9)</f>
        <v/>
      </c>
      <c r="J134" s="24" t="str">
        <f aca="false">IF(G134="","",G134-H134-I134-D134)</f>
        <v/>
      </c>
      <c r="K134" s="25" t="str">
        <f aca="true">IF(C134="","",IF(F134="",TODAY(),F134)-C134)</f>
        <v/>
      </c>
      <c r="L134" s="26" t="str">
        <f aca="false">IF(A134="","",IF(G134&lt;&gt;"","Sold",IF(K134&gt;'Booth Setup'!$C$12,"STALE - mark down","In booth")))</f>
        <v/>
      </c>
      <c r="M134" s="27" t="str">
        <f aca="false">IF(F134="","",DATE(YEAR(F134),MONTH(F134),1))</f>
        <v/>
      </c>
    </row>
    <row r="135" customFormat="false" ht="15" hidden="false" customHeight="false" outlineLevel="0" collapsed="false">
      <c r="A135" s="21"/>
      <c r="B135" s="21"/>
      <c r="C135" s="22"/>
      <c r="D135" s="23"/>
      <c r="E135" s="23"/>
      <c r="F135" s="22"/>
      <c r="G135" s="23"/>
      <c r="H135" s="24" t="str">
        <f aca="false">IF(G135="","",G135*'Booth Setup'!$C$8)</f>
        <v/>
      </c>
      <c r="I135" s="24" t="str">
        <f aca="false">IF(G135="","",G135*'Booth Setup'!$C$9)</f>
        <v/>
      </c>
      <c r="J135" s="24" t="str">
        <f aca="false">IF(G135="","",G135-H135-I135-D135)</f>
        <v/>
      </c>
      <c r="K135" s="25" t="str">
        <f aca="true">IF(C135="","",IF(F135="",TODAY(),F135)-C135)</f>
        <v/>
      </c>
      <c r="L135" s="26" t="str">
        <f aca="false">IF(A135="","",IF(G135&lt;&gt;"","Sold",IF(K135&gt;'Booth Setup'!$C$12,"STALE - mark down","In booth")))</f>
        <v/>
      </c>
      <c r="M135" s="27" t="str">
        <f aca="false">IF(F135="","",DATE(YEAR(F135),MONTH(F135),1))</f>
        <v/>
      </c>
    </row>
    <row r="136" customFormat="false" ht="15" hidden="false" customHeight="false" outlineLevel="0" collapsed="false">
      <c r="A136" s="21"/>
      <c r="B136" s="21"/>
      <c r="C136" s="22"/>
      <c r="D136" s="23"/>
      <c r="E136" s="23"/>
      <c r="F136" s="22"/>
      <c r="G136" s="23"/>
      <c r="H136" s="24" t="str">
        <f aca="false">IF(G136="","",G136*'Booth Setup'!$C$8)</f>
        <v/>
      </c>
      <c r="I136" s="24" t="str">
        <f aca="false">IF(G136="","",G136*'Booth Setup'!$C$9)</f>
        <v/>
      </c>
      <c r="J136" s="24" t="str">
        <f aca="false">IF(G136="","",G136-H136-I136-D136)</f>
        <v/>
      </c>
      <c r="K136" s="25" t="str">
        <f aca="true">IF(C136="","",IF(F136="",TODAY(),F136)-C136)</f>
        <v/>
      </c>
      <c r="L136" s="26" t="str">
        <f aca="false">IF(A136="","",IF(G136&lt;&gt;"","Sold",IF(K136&gt;'Booth Setup'!$C$12,"STALE - mark down","In booth")))</f>
        <v/>
      </c>
      <c r="M136" s="27" t="str">
        <f aca="false">IF(F136="","",DATE(YEAR(F136),MONTH(F136),1))</f>
        <v/>
      </c>
    </row>
    <row r="137" customFormat="false" ht="15" hidden="false" customHeight="false" outlineLevel="0" collapsed="false">
      <c r="A137" s="21"/>
      <c r="B137" s="21"/>
      <c r="C137" s="22"/>
      <c r="D137" s="23"/>
      <c r="E137" s="23"/>
      <c r="F137" s="22"/>
      <c r="G137" s="23"/>
      <c r="H137" s="24" t="str">
        <f aca="false">IF(G137="","",G137*'Booth Setup'!$C$8)</f>
        <v/>
      </c>
      <c r="I137" s="24" t="str">
        <f aca="false">IF(G137="","",G137*'Booth Setup'!$C$9)</f>
        <v/>
      </c>
      <c r="J137" s="24" t="str">
        <f aca="false">IF(G137="","",G137-H137-I137-D137)</f>
        <v/>
      </c>
      <c r="K137" s="25" t="str">
        <f aca="true">IF(C137="","",IF(F137="",TODAY(),F137)-C137)</f>
        <v/>
      </c>
      <c r="L137" s="26" t="str">
        <f aca="false">IF(A137="","",IF(G137&lt;&gt;"","Sold",IF(K137&gt;'Booth Setup'!$C$12,"STALE - mark down","In booth")))</f>
        <v/>
      </c>
      <c r="M137" s="27" t="str">
        <f aca="false">IF(F137="","",DATE(YEAR(F137),MONTH(F137),1))</f>
        <v/>
      </c>
    </row>
    <row r="138" customFormat="false" ht="15" hidden="false" customHeight="false" outlineLevel="0" collapsed="false">
      <c r="A138" s="21"/>
      <c r="B138" s="21"/>
      <c r="C138" s="22"/>
      <c r="D138" s="23"/>
      <c r="E138" s="23"/>
      <c r="F138" s="22"/>
      <c r="G138" s="23"/>
      <c r="H138" s="24" t="str">
        <f aca="false">IF(G138="","",G138*'Booth Setup'!$C$8)</f>
        <v/>
      </c>
      <c r="I138" s="24" t="str">
        <f aca="false">IF(G138="","",G138*'Booth Setup'!$C$9)</f>
        <v/>
      </c>
      <c r="J138" s="24" t="str">
        <f aca="false">IF(G138="","",G138-H138-I138-D138)</f>
        <v/>
      </c>
      <c r="K138" s="25" t="str">
        <f aca="true">IF(C138="","",IF(F138="",TODAY(),F138)-C138)</f>
        <v/>
      </c>
      <c r="L138" s="26" t="str">
        <f aca="false">IF(A138="","",IF(G138&lt;&gt;"","Sold",IF(K138&gt;'Booth Setup'!$C$12,"STALE - mark down","In booth")))</f>
        <v/>
      </c>
      <c r="M138" s="27" t="str">
        <f aca="false">IF(F138="","",DATE(YEAR(F138),MONTH(F138),1))</f>
        <v/>
      </c>
    </row>
    <row r="139" customFormat="false" ht="15" hidden="false" customHeight="false" outlineLevel="0" collapsed="false">
      <c r="A139" s="21"/>
      <c r="B139" s="21"/>
      <c r="C139" s="22"/>
      <c r="D139" s="23"/>
      <c r="E139" s="23"/>
      <c r="F139" s="22"/>
      <c r="G139" s="23"/>
      <c r="H139" s="24" t="str">
        <f aca="false">IF(G139="","",G139*'Booth Setup'!$C$8)</f>
        <v/>
      </c>
      <c r="I139" s="24" t="str">
        <f aca="false">IF(G139="","",G139*'Booth Setup'!$C$9)</f>
        <v/>
      </c>
      <c r="J139" s="24" t="str">
        <f aca="false">IF(G139="","",G139-H139-I139-D139)</f>
        <v/>
      </c>
      <c r="K139" s="25" t="str">
        <f aca="true">IF(C139="","",IF(F139="",TODAY(),F139)-C139)</f>
        <v/>
      </c>
      <c r="L139" s="26" t="str">
        <f aca="false">IF(A139="","",IF(G139&lt;&gt;"","Sold",IF(K139&gt;'Booth Setup'!$C$12,"STALE - mark down","In booth")))</f>
        <v/>
      </c>
      <c r="M139" s="27" t="str">
        <f aca="false">IF(F139="","",DATE(YEAR(F139),MONTH(F139),1))</f>
        <v/>
      </c>
    </row>
    <row r="140" customFormat="false" ht="15" hidden="false" customHeight="false" outlineLevel="0" collapsed="false">
      <c r="A140" s="21"/>
      <c r="B140" s="21"/>
      <c r="C140" s="22"/>
      <c r="D140" s="23"/>
      <c r="E140" s="23"/>
      <c r="F140" s="22"/>
      <c r="G140" s="23"/>
      <c r="H140" s="24" t="str">
        <f aca="false">IF(G140="","",G140*'Booth Setup'!$C$8)</f>
        <v/>
      </c>
      <c r="I140" s="24" t="str">
        <f aca="false">IF(G140="","",G140*'Booth Setup'!$C$9)</f>
        <v/>
      </c>
      <c r="J140" s="24" t="str">
        <f aca="false">IF(G140="","",G140-H140-I140-D140)</f>
        <v/>
      </c>
      <c r="K140" s="25" t="str">
        <f aca="true">IF(C140="","",IF(F140="",TODAY(),F140)-C140)</f>
        <v/>
      </c>
      <c r="L140" s="26" t="str">
        <f aca="false">IF(A140="","",IF(G140&lt;&gt;"","Sold",IF(K140&gt;'Booth Setup'!$C$12,"STALE - mark down","In booth")))</f>
        <v/>
      </c>
      <c r="M140" s="27" t="str">
        <f aca="false">IF(F140="","",DATE(YEAR(F140),MONTH(F140),1))</f>
        <v/>
      </c>
    </row>
    <row r="141" customFormat="false" ht="15" hidden="false" customHeight="false" outlineLevel="0" collapsed="false">
      <c r="A141" s="21"/>
      <c r="B141" s="21"/>
      <c r="C141" s="22"/>
      <c r="D141" s="23"/>
      <c r="E141" s="23"/>
      <c r="F141" s="22"/>
      <c r="G141" s="23"/>
      <c r="H141" s="24" t="str">
        <f aca="false">IF(G141="","",G141*'Booth Setup'!$C$8)</f>
        <v/>
      </c>
      <c r="I141" s="24" t="str">
        <f aca="false">IF(G141="","",G141*'Booth Setup'!$C$9)</f>
        <v/>
      </c>
      <c r="J141" s="24" t="str">
        <f aca="false">IF(G141="","",G141-H141-I141-D141)</f>
        <v/>
      </c>
      <c r="K141" s="25" t="str">
        <f aca="true">IF(C141="","",IF(F141="",TODAY(),F141)-C141)</f>
        <v/>
      </c>
      <c r="L141" s="26" t="str">
        <f aca="false">IF(A141="","",IF(G141&lt;&gt;"","Sold",IF(K141&gt;'Booth Setup'!$C$12,"STALE - mark down","In booth")))</f>
        <v/>
      </c>
      <c r="M141" s="27" t="str">
        <f aca="false">IF(F141="","",DATE(YEAR(F141),MONTH(F141),1))</f>
        <v/>
      </c>
    </row>
    <row r="142" customFormat="false" ht="15" hidden="false" customHeight="false" outlineLevel="0" collapsed="false">
      <c r="A142" s="21"/>
      <c r="B142" s="21"/>
      <c r="C142" s="22"/>
      <c r="D142" s="23"/>
      <c r="E142" s="23"/>
      <c r="F142" s="22"/>
      <c r="G142" s="23"/>
      <c r="H142" s="24" t="str">
        <f aca="false">IF(G142="","",G142*'Booth Setup'!$C$8)</f>
        <v/>
      </c>
      <c r="I142" s="24" t="str">
        <f aca="false">IF(G142="","",G142*'Booth Setup'!$C$9)</f>
        <v/>
      </c>
      <c r="J142" s="24" t="str">
        <f aca="false">IF(G142="","",G142-H142-I142-D142)</f>
        <v/>
      </c>
      <c r="K142" s="25" t="str">
        <f aca="true">IF(C142="","",IF(F142="",TODAY(),F142)-C142)</f>
        <v/>
      </c>
      <c r="L142" s="26" t="str">
        <f aca="false">IF(A142="","",IF(G142&lt;&gt;"","Sold",IF(K142&gt;'Booth Setup'!$C$12,"STALE - mark down","In booth")))</f>
        <v/>
      </c>
      <c r="M142" s="27" t="str">
        <f aca="false">IF(F142="","",DATE(YEAR(F142),MONTH(F142),1))</f>
        <v/>
      </c>
    </row>
    <row r="143" customFormat="false" ht="15" hidden="false" customHeight="false" outlineLevel="0" collapsed="false">
      <c r="A143" s="21"/>
      <c r="B143" s="21"/>
      <c r="C143" s="22"/>
      <c r="D143" s="23"/>
      <c r="E143" s="23"/>
      <c r="F143" s="22"/>
      <c r="G143" s="23"/>
      <c r="H143" s="24" t="str">
        <f aca="false">IF(G143="","",G143*'Booth Setup'!$C$8)</f>
        <v/>
      </c>
      <c r="I143" s="24" t="str">
        <f aca="false">IF(G143="","",G143*'Booth Setup'!$C$9)</f>
        <v/>
      </c>
      <c r="J143" s="24" t="str">
        <f aca="false">IF(G143="","",G143-H143-I143-D143)</f>
        <v/>
      </c>
      <c r="K143" s="25" t="str">
        <f aca="true">IF(C143="","",IF(F143="",TODAY(),F143)-C143)</f>
        <v/>
      </c>
      <c r="L143" s="26" t="str">
        <f aca="false">IF(A143="","",IF(G143&lt;&gt;"","Sold",IF(K143&gt;'Booth Setup'!$C$12,"STALE - mark down","In booth")))</f>
        <v/>
      </c>
      <c r="M143" s="27" t="str">
        <f aca="false">IF(F143="","",DATE(YEAR(F143),MONTH(F143),1))</f>
        <v/>
      </c>
    </row>
    <row r="144" customFormat="false" ht="15" hidden="false" customHeight="false" outlineLevel="0" collapsed="false">
      <c r="A144" s="21"/>
      <c r="B144" s="21"/>
      <c r="C144" s="22"/>
      <c r="D144" s="23"/>
      <c r="E144" s="23"/>
      <c r="F144" s="22"/>
      <c r="G144" s="23"/>
      <c r="H144" s="24" t="str">
        <f aca="false">IF(G144="","",G144*'Booth Setup'!$C$8)</f>
        <v/>
      </c>
      <c r="I144" s="24" t="str">
        <f aca="false">IF(G144="","",G144*'Booth Setup'!$C$9)</f>
        <v/>
      </c>
      <c r="J144" s="24" t="str">
        <f aca="false">IF(G144="","",G144-H144-I144-D144)</f>
        <v/>
      </c>
      <c r="K144" s="25" t="str">
        <f aca="true">IF(C144="","",IF(F144="",TODAY(),F144)-C144)</f>
        <v/>
      </c>
      <c r="L144" s="26" t="str">
        <f aca="false">IF(A144="","",IF(G144&lt;&gt;"","Sold",IF(K144&gt;'Booth Setup'!$C$12,"STALE - mark down","In booth")))</f>
        <v/>
      </c>
      <c r="M144" s="27" t="str">
        <f aca="false">IF(F144="","",DATE(YEAR(F144),MONTH(F144),1))</f>
        <v/>
      </c>
    </row>
    <row r="145" customFormat="false" ht="15" hidden="false" customHeight="false" outlineLevel="0" collapsed="false">
      <c r="A145" s="21"/>
      <c r="B145" s="21"/>
      <c r="C145" s="22"/>
      <c r="D145" s="23"/>
      <c r="E145" s="23"/>
      <c r="F145" s="22"/>
      <c r="G145" s="23"/>
      <c r="H145" s="24" t="str">
        <f aca="false">IF(G145="","",G145*'Booth Setup'!$C$8)</f>
        <v/>
      </c>
      <c r="I145" s="24" t="str">
        <f aca="false">IF(G145="","",G145*'Booth Setup'!$C$9)</f>
        <v/>
      </c>
      <c r="J145" s="24" t="str">
        <f aca="false">IF(G145="","",G145-H145-I145-D145)</f>
        <v/>
      </c>
      <c r="K145" s="25" t="str">
        <f aca="true">IF(C145="","",IF(F145="",TODAY(),F145)-C145)</f>
        <v/>
      </c>
      <c r="L145" s="26" t="str">
        <f aca="false">IF(A145="","",IF(G145&lt;&gt;"","Sold",IF(K145&gt;'Booth Setup'!$C$12,"STALE - mark down","In booth")))</f>
        <v/>
      </c>
      <c r="M145" s="27" t="str">
        <f aca="false">IF(F145="","",DATE(YEAR(F145),MONTH(F145),1))</f>
        <v/>
      </c>
    </row>
    <row r="146" customFormat="false" ht="15" hidden="false" customHeight="false" outlineLevel="0" collapsed="false">
      <c r="A146" s="21"/>
      <c r="B146" s="21"/>
      <c r="C146" s="22"/>
      <c r="D146" s="23"/>
      <c r="E146" s="23"/>
      <c r="F146" s="22"/>
      <c r="G146" s="23"/>
      <c r="H146" s="24" t="str">
        <f aca="false">IF(G146="","",G146*'Booth Setup'!$C$8)</f>
        <v/>
      </c>
      <c r="I146" s="24" t="str">
        <f aca="false">IF(G146="","",G146*'Booth Setup'!$C$9)</f>
        <v/>
      </c>
      <c r="J146" s="24" t="str">
        <f aca="false">IF(G146="","",G146-H146-I146-D146)</f>
        <v/>
      </c>
      <c r="K146" s="25" t="str">
        <f aca="true">IF(C146="","",IF(F146="",TODAY(),F146)-C146)</f>
        <v/>
      </c>
      <c r="L146" s="26" t="str">
        <f aca="false">IF(A146="","",IF(G146&lt;&gt;"","Sold",IF(K146&gt;'Booth Setup'!$C$12,"STALE - mark down","In booth")))</f>
        <v/>
      </c>
      <c r="M146" s="27" t="str">
        <f aca="false">IF(F146="","",DATE(YEAR(F146),MONTH(F146),1))</f>
        <v/>
      </c>
    </row>
    <row r="147" customFormat="false" ht="15" hidden="false" customHeight="false" outlineLevel="0" collapsed="false">
      <c r="A147" s="21"/>
      <c r="B147" s="21"/>
      <c r="C147" s="22"/>
      <c r="D147" s="23"/>
      <c r="E147" s="23"/>
      <c r="F147" s="22"/>
      <c r="G147" s="23"/>
      <c r="H147" s="24" t="str">
        <f aca="false">IF(G147="","",G147*'Booth Setup'!$C$8)</f>
        <v/>
      </c>
      <c r="I147" s="24" t="str">
        <f aca="false">IF(G147="","",G147*'Booth Setup'!$C$9)</f>
        <v/>
      </c>
      <c r="J147" s="24" t="str">
        <f aca="false">IF(G147="","",G147-H147-I147-D147)</f>
        <v/>
      </c>
      <c r="K147" s="25" t="str">
        <f aca="true">IF(C147="","",IF(F147="",TODAY(),F147)-C147)</f>
        <v/>
      </c>
      <c r="L147" s="26" t="str">
        <f aca="false">IF(A147="","",IF(G147&lt;&gt;"","Sold",IF(K147&gt;'Booth Setup'!$C$12,"STALE - mark down","In booth")))</f>
        <v/>
      </c>
      <c r="M147" s="27" t="str">
        <f aca="false">IF(F147="","",DATE(YEAR(F147),MONTH(F147),1))</f>
        <v/>
      </c>
    </row>
    <row r="148" customFormat="false" ht="15" hidden="false" customHeight="false" outlineLevel="0" collapsed="false">
      <c r="A148" s="21"/>
      <c r="B148" s="21"/>
      <c r="C148" s="22"/>
      <c r="D148" s="23"/>
      <c r="E148" s="23"/>
      <c r="F148" s="22"/>
      <c r="G148" s="23"/>
      <c r="H148" s="24" t="str">
        <f aca="false">IF(G148="","",G148*'Booth Setup'!$C$8)</f>
        <v/>
      </c>
      <c r="I148" s="24" t="str">
        <f aca="false">IF(G148="","",G148*'Booth Setup'!$C$9)</f>
        <v/>
      </c>
      <c r="J148" s="24" t="str">
        <f aca="false">IF(G148="","",G148-H148-I148-D148)</f>
        <v/>
      </c>
      <c r="K148" s="25" t="str">
        <f aca="true">IF(C148="","",IF(F148="",TODAY(),F148)-C148)</f>
        <v/>
      </c>
      <c r="L148" s="26" t="str">
        <f aca="false">IF(A148="","",IF(G148&lt;&gt;"","Sold",IF(K148&gt;'Booth Setup'!$C$12,"STALE - mark down","In booth")))</f>
        <v/>
      </c>
      <c r="M148" s="27" t="str">
        <f aca="false">IF(F148="","",DATE(YEAR(F148),MONTH(F148),1))</f>
        <v/>
      </c>
    </row>
    <row r="149" customFormat="false" ht="15" hidden="false" customHeight="false" outlineLevel="0" collapsed="false">
      <c r="A149" s="21"/>
      <c r="B149" s="21"/>
      <c r="C149" s="22"/>
      <c r="D149" s="23"/>
      <c r="E149" s="23"/>
      <c r="F149" s="22"/>
      <c r="G149" s="23"/>
      <c r="H149" s="24" t="str">
        <f aca="false">IF(G149="","",G149*'Booth Setup'!$C$8)</f>
        <v/>
      </c>
      <c r="I149" s="24" t="str">
        <f aca="false">IF(G149="","",G149*'Booth Setup'!$C$9)</f>
        <v/>
      </c>
      <c r="J149" s="24" t="str">
        <f aca="false">IF(G149="","",G149-H149-I149-D149)</f>
        <v/>
      </c>
      <c r="K149" s="25" t="str">
        <f aca="true">IF(C149="","",IF(F149="",TODAY(),F149)-C149)</f>
        <v/>
      </c>
      <c r="L149" s="26" t="str">
        <f aca="false">IF(A149="","",IF(G149&lt;&gt;"","Sold",IF(K149&gt;'Booth Setup'!$C$12,"STALE - mark down","In booth")))</f>
        <v/>
      </c>
      <c r="M149" s="27" t="str">
        <f aca="false">IF(F149="","",DATE(YEAR(F149),MONTH(F149),1))</f>
        <v/>
      </c>
    </row>
    <row r="150" customFormat="false" ht="15" hidden="false" customHeight="false" outlineLevel="0" collapsed="false">
      <c r="A150" s="21"/>
      <c r="B150" s="21"/>
      <c r="C150" s="22"/>
      <c r="D150" s="23"/>
      <c r="E150" s="23"/>
      <c r="F150" s="22"/>
      <c r="G150" s="23"/>
      <c r="H150" s="24" t="str">
        <f aca="false">IF(G150="","",G150*'Booth Setup'!$C$8)</f>
        <v/>
      </c>
      <c r="I150" s="24" t="str">
        <f aca="false">IF(G150="","",G150*'Booth Setup'!$C$9)</f>
        <v/>
      </c>
      <c r="J150" s="24" t="str">
        <f aca="false">IF(G150="","",G150-H150-I150-D150)</f>
        <v/>
      </c>
      <c r="K150" s="25" t="str">
        <f aca="true">IF(C150="","",IF(F150="",TODAY(),F150)-C150)</f>
        <v/>
      </c>
      <c r="L150" s="26" t="str">
        <f aca="false">IF(A150="","",IF(G150&lt;&gt;"","Sold",IF(K150&gt;'Booth Setup'!$C$12,"STALE - mark down","In booth")))</f>
        <v/>
      </c>
      <c r="M150" s="27" t="str">
        <f aca="false">IF(F150="","",DATE(YEAR(F150),MONTH(F150),1))</f>
        <v/>
      </c>
    </row>
    <row r="151" customFormat="false" ht="15" hidden="false" customHeight="false" outlineLevel="0" collapsed="false">
      <c r="A151" s="21"/>
      <c r="B151" s="21"/>
      <c r="C151" s="22"/>
      <c r="D151" s="23"/>
      <c r="E151" s="23"/>
      <c r="F151" s="22"/>
      <c r="G151" s="23"/>
      <c r="H151" s="24" t="str">
        <f aca="false">IF(G151="","",G151*'Booth Setup'!$C$8)</f>
        <v/>
      </c>
      <c r="I151" s="24" t="str">
        <f aca="false">IF(G151="","",G151*'Booth Setup'!$C$9)</f>
        <v/>
      </c>
      <c r="J151" s="24" t="str">
        <f aca="false">IF(G151="","",G151-H151-I151-D151)</f>
        <v/>
      </c>
      <c r="K151" s="25" t="str">
        <f aca="true">IF(C151="","",IF(F151="",TODAY(),F151)-C151)</f>
        <v/>
      </c>
      <c r="L151" s="26" t="str">
        <f aca="false">IF(A151="","",IF(G151&lt;&gt;"","Sold",IF(K151&gt;'Booth Setup'!$C$12,"STALE - mark down","In booth")))</f>
        <v/>
      </c>
      <c r="M151" s="27" t="str">
        <f aca="false">IF(F151="","",DATE(YEAR(F151),MONTH(F151),1))</f>
        <v/>
      </c>
    </row>
    <row r="152" customFormat="false" ht="15" hidden="false" customHeight="false" outlineLevel="0" collapsed="false">
      <c r="A152" s="21"/>
      <c r="B152" s="21"/>
      <c r="C152" s="22"/>
      <c r="D152" s="23"/>
      <c r="E152" s="23"/>
      <c r="F152" s="22"/>
      <c r="G152" s="23"/>
      <c r="H152" s="24" t="str">
        <f aca="false">IF(G152="","",G152*'Booth Setup'!$C$8)</f>
        <v/>
      </c>
      <c r="I152" s="24" t="str">
        <f aca="false">IF(G152="","",G152*'Booth Setup'!$C$9)</f>
        <v/>
      </c>
      <c r="J152" s="24" t="str">
        <f aca="false">IF(G152="","",G152-H152-I152-D152)</f>
        <v/>
      </c>
      <c r="K152" s="25" t="str">
        <f aca="true">IF(C152="","",IF(F152="",TODAY(),F152)-C152)</f>
        <v/>
      </c>
      <c r="L152" s="26" t="str">
        <f aca="false">IF(A152="","",IF(G152&lt;&gt;"","Sold",IF(K152&gt;'Booth Setup'!$C$12,"STALE - mark down","In booth")))</f>
        <v/>
      </c>
      <c r="M152" s="27" t="str">
        <f aca="false">IF(F152="","",DATE(YEAR(F152),MONTH(F152),1))</f>
        <v/>
      </c>
    </row>
    <row r="153" customFormat="false" ht="15" hidden="false" customHeight="false" outlineLevel="0" collapsed="false">
      <c r="A153" s="21"/>
      <c r="B153" s="21"/>
      <c r="C153" s="22"/>
      <c r="D153" s="23"/>
      <c r="E153" s="23"/>
      <c r="F153" s="22"/>
      <c r="G153" s="23"/>
      <c r="H153" s="24" t="str">
        <f aca="false">IF(G153="","",G153*'Booth Setup'!$C$8)</f>
        <v/>
      </c>
      <c r="I153" s="24" t="str">
        <f aca="false">IF(G153="","",G153*'Booth Setup'!$C$9)</f>
        <v/>
      </c>
      <c r="J153" s="24" t="str">
        <f aca="false">IF(G153="","",G153-H153-I153-D153)</f>
        <v/>
      </c>
      <c r="K153" s="25" t="str">
        <f aca="true">IF(C153="","",IF(F153="",TODAY(),F153)-C153)</f>
        <v/>
      </c>
      <c r="L153" s="26" t="str">
        <f aca="false">IF(A153="","",IF(G153&lt;&gt;"","Sold",IF(K153&gt;'Booth Setup'!$C$12,"STALE - mark down","In booth")))</f>
        <v/>
      </c>
      <c r="M153" s="27" t="str">
        <f aca="false">IF(F153="","",DATE(YEAR(F153),MONTH(F153),1))</f>
        <v/>
      </c>
    </row>
    <row r="154" customFormat="false" ht="15" hidden="false" customHeight="false" outlineLevel="0" collapsed="false">
      <c r="A154" s="21"/>
      <c r="B154" s="21"/>
      <c r="C154" s="22"/>
      <c r="D154" s="23"/>
      <c r="E154" s="23"/>
      <c r="F154" s="22"/>
      <c r="G154" s="23"/>
      <c r="H154" s="24" t="str">
        <f aca="false">IF(G154="","",G154*'Booth Setup'!$C$8)</f>
        <v/>
      </c>
      <c r="I154" s="24" t="str">
        <f aca="false">IF(G154="","",G154*'Booth Setup'!$C$9)</f>
        <v/>
      </c>
      <c r="J154" s="24" t="str">
        <f aca="false">IF(G154="","",G154-H154-I154-D154)</f>
        <v/>
      </c>
      <c r="K154" s="25" t="str">
        <f aca="true">IF(C154="","",IF(F154="",TODAY(),F154)-C154)</f>
        <v/>
      </c>
      <c r="L154" s="26" t="str">
        <f aca="false">IF(A154="","",IF(G154&lt;&gt;"","Sold",IF(K154&gt;'Booth Setup'!$C$12,"STALE - mark down","In booth")))</f>
        <v/>
      </c>
      <c r="M154" s="27" t="str">
        <f aca="false">IF(F154="","",DATE(YEAR(F154),MONTH(F154),1))</f>
        <v/>
      </c>
    </row>
    <row r="155" customFormat="false" ht="15" hidden="false" customHeight="false" outlineLevel="0" collapsed="false">
      <c r="A155" s="21"/>
      <c r="B155" s="21"/>
      <c r="C155" s="22"/>
      <c r="D155" s="23"/>
      <c r="E155" s="23"/>
      <c r="F155" s="22"/>
      <c r="G155" s="23"/>
      <c r="H155" s="24" t="str">
        <f aca="false">IF(G155="","",G155*'Booth Setup'!$C$8)</f>
        <v/>
      </c>
      <c r="I155" s="24" t="str">
        <f aca="false">IF(G155="","",G155*'Booth Setup'!$C$9)</f>
        <v/>
      </c>
      <c r="J155" s="24" t="str">
        <f aca="false">IF(G155="","",G155-H155-I155-D155)</f>
        <v/>
      </c>
      <c r="K155" s="25" t="str">
        <f aca="true">IF(C155="","",IF(F155="",TODAY(),F155)-C155)</f>
        <v/>
      </c>
      <c r="L155" s="26" t="str">
        <f aca="false">IF(A155="","",IF(G155&lt;&gt;"","Sold",IF(K155&gt;'Booth Setup'!$C$12,"STALE - mark down","In booth")))</f>
        <v/>
      </c>
      <c r="M155" s="27" t="str">
        <f aca="false">IF(F155="","",DATE(YEAR(F155),MONTH(F155),1))</f>
        <v/>
      </c>
    </row>
    <row r="156" customFormat="false" ht="15" hidden="false" customHeight="false" outlineLevel="0" collapsed="false">
      <c r="A156" s="21"/>
      <c r="B156" s="21"/>
      <c r="C156" s="22"/>
      <c r="D156" s="23"/>
      <c r="E156" s="23"/>
      <c r="F156" s="22"/>
      <c r="G156" s="23"/>
      <c r="H156" s="24" t="str">
        <f aca="false">IF(G156="","",G156*'Booth Setup'!$C$8)</f>
        <v/>
      </c>
      <c r="I156" s="24" t="str">
        <f aca="false">IF(G156="","",G156*'Booth Setup'!$C$9)</f>
        <v/>
      </c>
      <c r="J156" s="24" t="str">
        <f aca="false">IF(G156="","",G156-H156-I156-D156)</f>
        <v/>
      </c>
      <c r="K156" s="25" t="str">
        <f aca="true">IF(C156="","",IF(F156="",TODAY(),F156)-C156)</f>
        <v/>
      </c>
      <c r="L156" s="26" t="str">
        <f aca="false">IF(A156="","",IF(G156&lt;&gt;"","Sold",IF(K156&gt;'Booth Setup'!$C$12,"STALE - mark down","In booth")))</f>
        <v/>
      </c>
      <c r="M156" s="27" t="str">
        <f aca="false">IF(F156="","",DATE(YEAR(F156),MONTH(F156),1))</f>
        <v/>
      </c>
    </row>
    <row r="157" customFormat="false" ht="15" hidden="false" customHeight="false" outlineLevel="0" collapsed="false">
      <c r="A157" s="21"/>
      <c r="B157" s="21"/>
      <c r="C157" s="22"/>
      <c r="D157" s="23"/>
      <c r="E157" s="23"/>
      <c r="F157" s="22"/>
      <c r="G157" s="23"/>
      <c r="H157" s="24" t="str">
        <f aca="false">IF(G157="","",G157*'Booth Setup'!$C$8)</f>
        <v/>
      </c>
      <c r="I157" s="24" t="str">
        <f aca="false">IF(G157="","",G157*'Booth Setup'!$C$9)</f>
        <v/>
      </c>
      <c r="J157" s="24" t="str">
        <f aca="false">IF(G157="","",G157-H157-I157-D157)</f>
        <v/>
      </c>
      <c r="K157" s="25" t="str">
        <f aca="true">IF(C157="","",IF(F157="",TODAY(),F157)-C157)</f>
        <v/>
      </c>
      <c r="L157" s="26" t="str">
        <f aca="false">IF(A157="","",IF(G157&lt;&gt;"","Sold",IF(K157&gt;'Booth Setup'!$C$12,"STALE - mark down","In booth")))</f>
        <v/>
      </c>
      <c r="M157" s="27" t="str">
        <f aca="false">IF(F157="","",DATE(YEAR(F157),MONTH(F157),1))</f>
        <v/>
      </c>
    </row>
    <row r="158" customFormat="false" ht="15" hidden="false" customHeight="false" outlineLevel="0" collapsed="false">
      <c r="A158" s="21"/>
      <c r="B158" s="21"/>
      <c r="C158" s="22"/>
      <c r="D158" s="23"/>
      <c r="E158" s="23"/>
      <c r="F158" s="22"/>
      <c r="G158" s="23"/>
      <c r="H158" s="24" t="str">
        <f aca="false">IF(G158="","",G158*'Booth Setup'!$C$8)</f>
        <v/>
      </c>
      <c r="I158" s="24" t="str">
        <f aca="false">IF(G158="","",G158*'Booth Setup'!$C$9)</f>
        <v/>
      </c>
      <c r="J158" s="24" t="str">
        <f aca="false">IF(G158="","",G158-H158-I158-D158)</f>
        <v/>
      </c>
      <c r="K158" s="25" t="str">
        <f aca="true">IF(C158="","",IF(F158="",TODAY(),F158)-C158)</f>
        <v/>
      </c>
      <c r="L158" s="26" t="str">
        <f aca="false">IF(A158="","",IF(G158&lt;&gt;"","Sold",IF(K158&gt;'Booth Setup'!$C$12,"STALE - mark down","In booth")))</f>
        <v/>
      </c>
      <c r="M158" s="27" t="str">
        <f aca="false">IF(F158="","",DATE(YEAR(F158),MONTH(F158),1))</f>
        <v/>
      </c>
    </row>
    <row r="159" customFormat="false" ht="15" hidden="false" customHeight="false" outlineLevel="0" collapsed="false">
      <c r="A159" s="21"/>
      <c r="B159" s="21"/>
      <c r="C159" s="22"/>
      <c r="D159" s="23"/>
      <c r="E159" s="23"/>
      <c r="F159" s="22"/>
      <c r="G159" s="23"/>
      <c r="H159" s="24" t="str">
        <f aca="false">IF(G159="","",G159*'Booth Setup'!$C$8)</f>
        <v/>
      </c>
      <c r="I159" s="24" t="str">
        <f aca="false">IF(G159="","",G159*'Booth Setup'!$C$9)</f>
        <v/>
      </c>
      <c r="J159" s="24" t="str">
        <f aca="false">IF(G159="","",G159-H159-I159-D159)</f>
        <v/>
      </c>
      <c r="K159" s="25" t="str">
        <f aca="true">IF(C159="","",IF(F159="",TODAY(),F159)-C159)</f>
        <v/>
      </c>
      <c r="L159" s="26" t="str">
        <f aca="false">IF(A159="","",IF(G159&lt;&gt;"","Sold",IF(K159&gt;'Booth Setup'!$C$12,"STALE - mark down","In booth")))</f>
        <v/>
      </c>
      <c r="M159" s="27" t="str">
        <f aca="false">IF(F159="","",DATE(YEAR(F159),MONTH(F159),1))</f>
        <v/>
      </c>
    </row>
    <row r="160" customFormat="false" ht="15" hidden="false" customHeight="false" outlineLevel="0" collapsed="false">
      <c r="A160" s="21"/>
      <c r="B160" s="21"/>
      <c r="C160" s="22"/>
      <c r="D160" s="23"/>
      <c r="E160" s="23"/>
      <c r="F160" s="22"/>
      <c r="G160" s="23"/>
      <c r="H160" s="24" t="str">
        <f aca="false">IF(G160="","",G160*'Booth Setup'!$C$8)</f>
        <v/>
      </c>
      <c r="I160" s="24" t="str">
        <f aca="false">IF(G160="","",G160*'Booth Setup'!$C$9)</f>
        <v/>
      </c>
      <c r="J160" s="24" t="str">
        <f aca="false">IF(G160="","",G160-H160-I160-D160)</f>
        <v/>
      </c>
      <c r="K160" s="25" t="str">
        <f aca="true">IF(C160="","",IF(F160="",TODAY(),F160)-C160)</f>
        <v/>
      </c>
      <c r="L160" s="26" t="str">
        <f aca="false">IF(A160="","",IF(G160&lt;&gt;"","Sold",IF(K160&gt;'Booth Setup'!$C$12,"STALE - mark down","In booth")))</f>
        <v/>
      </c>
      <c r="M160" s="27" t="str">
        <f aca="false">IF(F160="","",DATE(YEAR(F160),MONTH(F160),1))</f>
        <v/>
      </c>
    </row>
    <row r="161" customFormat="false" ht="15" hidden="false" customHeight="false" outlineLevel="0" collapsed="false">
      <c r="A161" s="21"/>
      <c r="B161" s="21"/>
      <c r="C161" s="22"/>
      <c r="D161" s="23"/>
      <c r="E161" s="23"/>
      <c r="F161" s="22"/>
      <c r="G161" s="23"/>
      <c r="H161" s="24" t="str">
        <f aca="false">IF(G161="","",G161*'Booth Setup'!$C$8)</f>
        <v/>
      </c>
      <c r="I161" s="24" t="str">
        <f aca="false">IF(G161="","",G161*'Booth Setup'!$C$9)</f>
        <v/>
      </c>
      <c r="J161" s="24" t="str">
        <f aca="false">IF(G161="","",G161-H161-I161-D161)</f>
        <v/>
      </c>
      <c r="K161" s="25" t="str">
        <f aca="true">IF(C161="","",IF(F161="",TODAY(),F161)-C161)</f>
        <v/>
      </c>
      <c r="L161" s="26" t="str">
        <f aca="false">IF(A161="","",IF(G161&lt;&gt;"","Sold",IF(K161&gt;'Booth Setup'!$C$12,"STALE - mark down","In booth")))</f>
        <v/>
      </c>
      <c r="M161" s="27" t="str">
        <f aca="false">IF(F161="","",DATE(YEAR(F161),MONTH(F161),1))</f>
        <v/>
      </c>
    </row>
    <row r="162" customFormat="false" ht="15" hidden="false" customHeight="false" outlineLevel="0" collapsed="false">
      <c r="A162" s="21"/>
      <c r="B162" s="21"/>
      <c r="C162" s="22"/>
      <c r="D162" s="23"/>
      <c r="E162" s="23"/>
      <c r="F162" s="22"/>
      <c r="G162" s="23"/>
      <c r="H162" s="24" t="str">
        <f aca="false">IF(G162="","",G162*'Booth Setup'!$C$8)</f>
        <v/>
      </c>
      <c r="I162" s="24" t="str">
        <f aca="false">IF(G162="","",G162*'Booth Setup'!$C$9)</f>
        <v/>
      </c>
      <c r="J162" s="24" t="str">
        <f aca="false">IF(G162="","",G162-H162-I162-D162)</f>
        <v/>
      </c>
      <c r="K162" s="25" t="str">
        <f aca="true">IF(C162="","",IF(F162="",TODAY(),F162)-C162)</f>
        <v/>
      </c>
      <c r="L162" s="26" t="str">
        <f aca="false">IF(A162="","",IF(G162&lt;&gt;"","Sold",IF(K162&gt;'Booth Setup'!$C$12,"STALE - mark down","In booth")))</f>
        <v/>
      </c>
      <c r="M162" s="27" t="str">
        <f aca="false">IF(F162="","",DATE(YEAR(F162),MONTH(F162),1))</f>
        <v/>
      </c>
    </row>
    <row r="163" customFormat="false" ht="15" hidden="false" customHeight="false" outlineLevel="0" collapsed="false">
      <c r="A163" s="21"/>
      <c r="B163" s="21"/>
      <c r="C163" s="22"/>
      <c r="D163" s="23"/>
      <c r="E163" s="23"/>
      <c r="F163" s="22"/>
      <c r="G163" s="23"/>
      <c r="H163" s="24" t="str">
        <f aca="false">IF(G163="","",G163*'Booth Setup'!$C$8)</f>
        <v/>
      </c>
      <c r="I163" s="24" t="str">
        <f aca="false">IF(G163="","",G163*'Booth Setup'!$C$9)</f>
        <v/>
      </c>
      <c r="J163" s="24" t="str">
        <f aca="false">IF(G163="","",G163-H163-I163-D163)</f>
        <v/>
      </c>
      <c r="K163" s="25" t="str">
        <f aca="true">IF(C163="","",IF(F163="",TODAY(),F163)-C163)</f>
        <v/>
      </c>
      <c r="L163" s="26" t="str">
        <f aca="false">IF(A163="","",IF(G163&lt;&gt;"","Sold",IF(K163&gt;'Booth Setup'!$C$12,"STALE - mark down","In booth")))</f>
        <v/>
      </c>
      <c r="M163" s="27" t="str">
        <f aca="false">IF(F163="","",DATE(YEAR(F163),MONTH(F163),1))</f>
        <v/>
      </c>
    </row>
    <row r="164" customFormat="false" ht="15" hidden="false" customHeight="false" outlineLevel="0" collapsed="false">
      <c r="A164" s="21"/>
      <c r="B164" s="21"/>
      <c r="C164" s="22"/>
      <c r="D164" s="23"/>
      <c r="E164" s="23"/>
      <c r="F164" s="22"/>
      <c r="G164" s="23"/>
      <c r="H164" s="24" t="str">
        <f aca="false">IF(G164="","",G164*'Booth Setup'!$C$8)</f>
        <v/>
      </c>
      <c r="I164" s="24" t="str">
        <f aca="false">IF(G164="","",G164*'Booth Setup'!$C$9)</f>
        <v/>
      </c>
      <c r="J164" s="24" t="str">
        <f aca="false">IF(G164="","",G164-H164-I164-D164)</f>
        <v/>
      </c>
      <c r="K164" s="25" t="str">
        <f aca="true">IF(C164="","",IF(F164="",TODAY(),F164)-C164)</f>
        <v/>
      </c>
      <c r="L164" s="26" t="str">
        <f aca="false">IF(A164="","",IF(G164&lt;&gt;"","Sold",IF(K164&gt;'Booth Setup'!$C$12,"STALE - mark down","In booth")))</f>
        <v/>
      </c>
      <c r="M164" s="27" t="str">
        <f aca="false">IF(F164="","",DATE(YEAR(F164),MONTH(F164),1))</f>
        <v/>
      </c>
    </row>
    <row r="165" customFormat="false" ht="15" hidden="false" customHeight="false" outlineLevel="0" collapsed="false">
      <c r="A165" s="21"/>
      <c r="B165" s="21"/>
      <c r="C165" s="22"/>
      <c r="D165" s="23"/>
      <c r="E165" s="23"/>
      <c r="F165" s="22"/>
      <c r="G165" s="23"/>
      <c r="H165" s="24" t="str">
        <f aca="false">IF(G165="","",G165*'Booth Setup'!$C$8)</f>
        <v/>
      </c>
      <c r="I165" s="24" t="str">
        <f aca="false">IF(G165="","",G165*'Booth Setup'!$C$9)</f>
        <v/>
      </c>
      <c r="J165" s="24" t="str">
        <f aca="false">IF(G165="","",G165-H165-I165-D165)</f>
        <v/>
      </c>
      <c r="K165" s="25" t="str">
        <f aca="true">IF(C165="","",IF(F165="",TODAY(),F165)-C165)</f>
        <v/>
      </c>
      <c r="L165" s="26" t="str">
        <f aca="false">IF(A165="","",IF(G165&lt;&gt;"","Sold",IF(K165&gt;'Booth Setup'!$C$12,"STALE - mark down","In booth")))</f>
        <v/>
      </c>
      <c r="M165" s="27" t="str">
        <f aca="false">IF(F165="","",DATE(YEAR(F165),MONTH(F165),1))</f>
        <v/>
      </c>
    </row>
    <row r="166" customFormat="false" ht="15" hidden="false" customHeight="false" outlineLevel="0" collapsed="false">
      <c r="A166" s="21"/>
      <c r="B166" s="21"/>
      <c r="C166" s="22"/>
      <c r="D166" s="23"/>
      <c r="E166" s="23"/>
      <c r="F166" s="22"/>
      <c r="G166" s="23"/>
      <c r="H166" s="24" t="str">
        <f aca="false">IF(G166="","",G166*'Booth Setup'!$C$8)</f>
        <v/>
      </c>
      <c r="I166" s="24" t="str">
        <f aca="false">IF(G166="","",G166*'Booth Setup'!$C$9)</f>
        <v/>
      </c>
      <c r="J166" s="24" t="str">
        <f aca="false">IF(G166="","",G166-H166-I166-D166)</f>
        <v/>
      </c>
      <c r="K166" s="25" t="str">
        <f aca="true">IF(C166="","",IF(F166="",TODAY(),F166)-C166)</f>
        <v/>
      </c>
      <c r="L166" s="26" t="str">
        <f aca="false">IF(A166="","",IF(G166&lt;&gt;"","Sold",IF(K166&gt;'Booth Setup'!$C$12,"STALE - mark down","In booth")))</f>
        <v/>
      </c>
      <c r="M166" s="27" t="str">
        <f aca="false">IF(F166="","",DATE(YEAR(F166),MONTH(F166),1))</f>
        <v/>
      </c>
    </row>
    <row r="167" customFormat="false" ht="15" hidden="false" customHeight="false" outlineLevel="0" collapsed="false">
      <c r="A167" s="21"/>
      <c r="B167" s="21"/>
      <c r="C167" s="22"/>
      <c r="D167" s="23"/>
      <c r="E167" s="23"/>
      <c r="F167" s="22"/>
      <c r="G167" s="23"/>
      <c r="H167" s="24" t="str">
        <f aca="false">IF(G167="","",G167*'Booth Setup'!$C$8)</f>
        <v/>
      </c>
      <c r="I167" s="24" t="str">
        <f aca="false">IF(G167="","",G167*'Booth Setup'!$C$9)</f>
        <v/>
      </c>
      <c r="J167" s="24" t="str">
        <f aca="false">IF(G167="","",G167-H167-I167-D167)</f>
        <v/>
      </c>
      <c r="K167" s="25" t="str">
        <f aca="true">IF(C167="","",IF(F167="",TODAY(),F167)-C167)</f>
        <v/>
      </c>
      <c r="L167" s="26" t="str">
        <f aca="false">IF(A167="","",IF(G167&lt;&gt;"","Sold",IF(K167&gt;'Booth Setup'!$C$12,"STALE - mark down","In booth")))</f>
        <v/>
      </c>
      <c r="M167" s="27" t="str">
        <f aca="false">IF(F167="","",DATE(YEAR(F167),MONTH(F167),1))</f>
        <v/>
      </c>
    </row>
    <row r="168" customFormat="false" ht="15" hidden="false" customHeight="false" outlineLevel="0" collapsed="false">
      <c r="A168" s="21"/>
      <c r="B168" s="21"/>
      <c r="C168" s="22"/>
      <c r="D168" s="23"/>
      <c r="E168" s="23"/>
      <c r="F168" s="22"/>
      <c r="G168" s="23"/>
      <c r="H168" s="24" t="str">
        <f aca="false">IF(G168="","",G168*'Booth Setup'!$C$8)</f>
        <v/>
      </c>
      <c r="I168" s="24" t="str">
        <f aca="false">IF(G168="","",G168*'Booth Setup'!$C$9)</f>
        <v/>
      </c>
      <c r="J168" s="24" t="str">
        <f aca="false">IF(G168="","",G168-H168-I168-D168)</f>
        <v/>
      </c>
      <c r="K168" s="25" t="str">
        <f aca="true">IF(C168="","",IF(F168="",TODAY(),F168)-C168)</f>
        <v/>
      </c>
      <c r="L168" s="26" t="str">
        <f aca="false">IF(A168="","",IF(G168&lt;&gt;"","Sold",IF(K168&gt;'Booth Setup'!$C$12,"STALE - mark down","In booth")))</f>
        <v/>
      </c>
      <c r="M168" s="27" t="str">
        <f aca="false">IF(F168="","",DATE(YEAR(F168),MONTH(F168),1))</f>
        <v/>
      </c>
    </row>
    <row r="169" customFormat="false" ht="15" hidden="false" customHeight="false" outlineLevel="0" collapsed="false">
      <c r="A169" s="21"/>
      <c r="B169" s="21"/>
      <c r="C169" s="22"/>
      <c r="D169" s="23"/>
      <c r="E169" s="23"/>
      <c r="F169" s="22"/>
      <c r="G169" s="23"/>
      <c r="H169" s="24" t="str">
        <f aca="false">IF(G169="","",G169*'Booth Setup'!$C$8)</f>
        <v/>
      </c>
      <c r="I169" s="24" t="str">
        <f aca="false">IF(G169="","",G169*'Booth Setup'!$C$9)</f>
        <v/>
      </c>
      <c r="J169" s="24" t="str">
        <f aca="false">IF(G169="","",G169-H169-I169-D169)</f>
        <v/>
      </c>
      <c r="K169" s="25" t="str">
        <f aca="true">IF(C169="","",IF(F169="",TODAY(),F169)-C169)</f>
        <v/>
      </c>
      <c r="L169" s="26" t="str">
        <f aca="false">IF(A169="","",IF(G169&lt;&gt;"","Sold",IF(K169&gt;'Booth Setup'!$C$12,"STALE - mark down","In booth")))</f>
        <v/>
      </c>
      <c r="M169" s="27" t="str">
        <f aca="false">IF(F169="","",DATE(YEAR(F169),MONTH(F169),1))</f>
        <v/>
      </c>
    </row>
    <row r="170" customFormat="false" ht="15" hidden="false" customHeight="false" outlineLevel="0" collapsed="false">
      <c r="A170" s="21"/>
      <c r="B170" s="21"/>
      <c r="C170" s="22"/>
      <c r="D170" s="23"/>
      <c r="E170" s="23"/>
      <c r="F170" s="22"/>
      <c r="G170" s="23"/>
      <c r="H170" s="24" t="str">
        <f aca="false">IF(G170="","",G170*'Booth Setup'!$C$8)</f>
        <v/>
      </c>
      <c r="I170" s="24" t="str">
        <f aca="false">IF(G170="","",G170*'Booth Setup'!$C$9)</f>
        <v/>
      </c>
      <c r="J170" s="24" t="str">
        <f aca="false">IF(G170="","",G170-H170-I170-D170)</f>
        <v/>
      </c>
      <c r="K170" s="25" t="str">
        <f aca="true">IF(C170="","",IF(F170="",TODAY(),F170)-C170)</f>
        <v/>
      </c>
      <c r="L170" s="26" t="str">
        <f aca="false">IF(A170="","",IF(G170&lt;&gt;"","Sold",IF(K170&gt;'Booth Setup'!$C$12,"STALE - mark down","In booth")))</f>
        <v/>
      </c>
      <c r="M170" s="27" t="str">
        <f aca="false">IF(F170="","",DATE(YEAR(F170),MONTH(F170),1))</f>
        <v/>
      </c>
    </row>
    <row r="171" customFormat="false" ht="15" hidden="false" customHeight="false" outlineLevel="0" collapsed="false">
      <c r="A171" s="21"/>
      <c r="B171" s="21"/>
      <c r="C171" s="22"/>
      <c r="D171" s="23"/>
      <c r="E171" s="23"/>
      <c r="F171" s="22"/>
      <c r="G171" s="23"/>
      <c r="H171" s="24" t="str">
        <f aca="false">IF(G171="","",G171*'Booth Setup'!$C$8)</f>
        <v/>
      </c>
      <c r="I171" s="24" t="str">
        <f aca="false">IF(G171="","",G171*'Booth Setup'!$C$9)</f>
        <v/>
      </c>
      <c r="J171" s="24" t="str">
        <f aca="false">IF(G171="","",G171-H171-I171-D171)</f>
        <v/>
      </c>
      <c r="K171" s="25" t="str">
        <f aca="true">IF(C171="","",IF(F171="",TODAY(),F171)-C171)</f>
        <v/>
      </c>
      <c r="L171" s="26" t="str">
        <f aca="false">IF(A171="","",IF(G171&lt;&gt;"","Sold",IF(K171&gt;'Booth Setup'!$C$12,"STALE - mark down","In booth")))</f>
        <v/>
      </c>
      <c r="M171" s="27" t="str">
        <f aca="false">IF(F171="","",DATE(YEAR(F171),MONTH(F171),1))</f>
        <v/>
      </c>
    </row>
    <row r="172" customFormat="false" ht="15" hidden="false" customHeight="false" outlineLevel="0" collapsed="false">
      <c r="A172" s="21"/>
      <c r="B172" s="21"/>
      <c r="C172" s="22"/>
      <c r="D172" s="23"/>
      <c r="E172" s="23"/>
      <c r="F172" s="22"/>
      <c r="G172" s="23"/>
      <c r="H172" s="24" t="str">
        <f aca="false">IF(G172="","",G172*'Booth Setup'!$C$8)</f>
        <v/>
      </c>
      <c r="I172" s="24" t="str">
        <f aca="false">IF(G172="","",G172*'Booth Setup'!$C$9)</f>
        <v/>
      </c>
      <c r="J172" s="24" t="str">
        <f aca="false">IF(G172="","",G172-H172-I172-D172)</f>
        <v/>
      </c>
      <c r="K172" s="25" t="str">
        <f aca="true">IF(C172="","",IF(F172="",TODAY(),F172)-C172)</f>
        <v/>
      </c>
      <c r="L172" s="26" t="str">
        <f aca="false">IF(A172="","",IF(G172&lt;&gt;"","Sold",IF(K172&gt;'Booth Setup'!$C$12,"STALE - mark down","In booth")))</f>
        <v/>
      </c>
      <c r="M172" s="27" t="str">
        <f aca="false">IF(F172="","",DATE(YEAR(F172),MONTH(F172),1))</f>
        <v/>
      </c>
    </row>
    <row r="173" customFormat="false" ht="15" hidden="false" customHeight="false" outlineLevel="0" collapsed="false">
      <c r="A173" s="21"/>
      <c r="B173" s="21"/>
      <c r="C173" s="22"/>
      <c r="D173" s="23"/>
      <c r="E173" s="23"/>
      <c r="F173" s="22"/>
      <c r="G173" s="23"/>
      <c r="H173" s="24" t="str">
        <f aca="false">IF(G173="","",G173*'Booth Setup'!$C$8)</f>
        <v/>
      </c>
      <c r="I173" s="24" t="str">
        <f aca="false">IF(G173="","",G173*'Booth Setup'!$C$9)</f>
        <v/>
      </c>
      <c r="J173" s="24" t="str">
        <f aca="false">IF(G173="","",G173-H173-I173-D173)</f>
        <v/>
      </c>
      <c r="K173" s="25" t="str">
        <f aca="true">IF(C173="","",IF(F173="",TODAY(),F173)-C173)</f>
        <v/>
      </c>
      <c r="L173" s="26" t="str">
        <f aca="false">IF(A173="","",IF(G173&lt;&gt;"","Sold",IF(K173&gt;'Booth Setup'!$C$12,"STALE - mark down","In booth")))</f>
        <v/>
      </c>
      <c r="M173" s="27" t="str">
        <f aca="false">IF(F173="","",DATE(YEAR(F173),MONTH(F173),1))</f>
        <v/>
      </c>
    </row>
    <row r="174" customFormat="false" ht="15" hidden="false" customHeight="false" outlineLevel="0" collapsed="false">
      <c r="A174" s="21"/>
      <c r="B174" s="21"/>
      <c r="C174" s="22"/>
      <c r="D174" s="23"/>
      <c r="E174" s="23"/>
      <c r="F174" s="22"/>
      <c r="G174" s="23"/>
      <c r="H174" s="24" t="str">
        <f aca="false">IF(G174="","",G174*'Booth Setup'!$C$8)</f>
        <v/>
      </c>
      <c r="I174" s="24" t="str">
        <f aca="false">IF(G174="","",G174*'Booth Setup'!$C$9)</f>
        <v/>
      </c>
      <c r="J174" s="24" t="str">
        <f aca="false">IF(G174="","",G174-H174-I174-D174)</f>
        <v/>
      </c>
      <c r="K174" s="25" t="str">
        <f aca="true">IF(C174="","",IF(F174="",TODAY(),F174)-C174)</f>
        <v/>
      </c>
      <c r="L174" s="26" t="str">
        <f aca="false">IF(A174="","",IF(G174&lt;&gt;"","Sold",IF(K174&gt;'Booth Setup'!$C$12,"STALE - mark down","In booth")))</f>
        <v/>
      </c>
      <c r="M174" s="27" t="str">
        <f aca="false">IF(F174="","",DATE(YEAR(F174),MONTH(F174),1))</f>
        <v/>
      </c>
    </row>
    <row r="175" customFormat="false" ht="15" hidden="false" customHeight="false" outlineLevel="0" collapsed="false">
      <c r="A175" s="21"/>
      <c r="B175" s="21"/>
      <c r="C175" s="22"/>
      <c r="D175" s="23"/>
      <c r="E175" s="23"/>
      <c r="F175" s="22"/>
      <c r="G175" s="23"/>
      <c r="H175" s="24" t="str">
        <f aca="false">IF(G175="","",G175*'Booth Setup'!$C$8)</f>
        <v/>
      </c>
      <c r="I175" s="24" t="str">
        <f aca="false">IF(G175="","",G175*'Booth Setup'!$C$9)</f>
        <v/>
      </c>
      <c r="J175" s="24" t="str">
        <f aca="false">IF(G175="","",G175-H175-I175-D175)</f>
        <v/>
      </c>
      <c r="K175" s="25" t="str">
        <f aca="true">IF(C175="","",IF(F175="",TODAY(),F175)-C175)</f>
        <v/>
      </c>
      <c r="L175" s="26" t="str">
        <f aca="false">IF(A175="","",IF(G175&lt;&gt;"","Sold",IF(K175&gt;'Booth Setup'!$C$12,"STALE - mark down","In booth")))</f>
        <v/>
      </c>
      <c r="M175" s="27" t="str">
        <f aca="false">IF(F175="","",DATE(YEAR(F175),MONTH(F175),1))</f>
        <v/>
      </c>
    </row>
    <row r="176" customFormat="false" ht="15" hidden="false" customHeight="false" outlineLevel="0" collapsed="false">
      <c r="A176" s="21"/>
      <c r="B176" s="21"/>
      <c r="C176" s="22"/>
      <c r="D176" s="23"/>
      <c r="E176" s="23"/>
      <c r="F176" s="22"/>
      <c r="G176" s="23"/>
      <c r="H176" s="24" t="str">
        <f aca="false">IF(G176="","",G176*'Booth Setup'!$C$8)</f>
        <v/>
      </c>
      <c r="I176" s="24" t="str">
        <f aca="false">IF(G176="","",G176*'Booth Setup'!$C$9)</f>
        <v/>
      </c>
      <c r="J176" s="24" t="str">
        <f aca="false">IF(G176="","",G176-H176-I176-D176)</f>
        <v/>
      </c>
      <c r="K176" s="25" t="str">
        <f aca="true">IF(C176="","",IF(F176="",TODAY(),F176)-C176)</f>
        <v/>
      </c>
      <c r="L176" s="26" t="str">
        <f aca="false">IF(A176="","",IF(G176&lt;&gt;"","Sold",IF(K176&gt;'Booth Setup'!$C$12,"STALE - mark down","In booth")))</f>
        <v/>
      </c>
      <c r="M176" s="27" t="str">
        <f aca="false">IF(F176="","",DATE(YEAR(F176),MONTH(F176),1))</f>
        <v/>
      </c>
    </row>
    <row r="177" customFormat="false" ht="15" hidden="false" customHeight="false" outlineLevel="0" collapsed="false">
      <c r="A177" s="21"/>
      <c r="B177" s="21"/>
      <c r="C177" s="22"/>
      <c r="D177" s="23"/>
      <c r="E177" s="23"/>
      <c r="F177" s="22"/>
      <c r="G177" s="23"/>
      <c r="H177" s="24" t="str">
        <f aca="false">IF(G177="","",G177*'Booth Setup'!$C$8)</f>
        <v/>
      </c>
      <c r="I177" s="24" t="str">
        <f aca="false">IF(G177="","",G177*'Booth Setup'!$C$9)</f>
        <v/>
      </c>
      <c r="J177" s="24" t="str">
        <f aca="false">IF(G177="","",G177-H177-I177-D177)</f>
        <v/>
      </c>
      <c r="K177" s="25" t="str">
        <f aca="true">IF(C177="","",IF(F177="",TODAY(),F177)-C177)</f>
        <v/>
      </c>
      <c r="L177" s="26" t="str">
        <f aca="false">IF(A177="","",IF(G177&lt;&gt;"","Sold",IF(K177&gt;'Booth Setup'!$C$12,"STALE - mark down","In booth")))</f>
        <v/>
      </c>
      <c r="M177" s="27" t="str">
        <f aca="false">IF(F177="","",DATE(YEAR(F177),MONTH(F177),1))</f>
        <v/>
      </c>
    </row>
    <row r="178" customFormat="false" ht="15" hidden="false" customHeight="false" outlineLevel="0" collapsed="false">
      <c r="A178" s="21"/>
      <c r="B178" s="21"/>
      <c r="C178" s="22"/>
      <c r="D178" s="23"/>
      <c r="E178" s="23"/>
      <c r="F178" s="22"/>
      <c r="G178" s="23"/>
      <c r="H178" s="24" t="str">
        <f aca="false">IF(G178="","",G178*'Booth Setup'!$C$8)</f>
        <v/>
      </c>
      <c r="I178" s="24" t="str">
        <f aca="false">IF(G178="","",G178*'Booth Setup'!$C$9)</f>
        <v/>
      </c>
      <c r="J178" s="24" t="str">
        <f aca="false">IF(G178="","",G178-H178-I178-D178)</f>
        <v/>
      </c>
      <c r="K178" s="25" t="str">
        <f aca="true">IF(C178="","",IF(F178="",TODAY(),F178)-C178)</f>
        <v/>
      </c>
      <c r="L178" s="26" t="str">
        <f aca="false">IF(A178="","",IF(G178&lt;&gt;"","Sold",IF(K178&gt;'Booth Setup'!$C$12,"STALE - mark down","In booth")))</f>
        <v/>
      </c>
      <c r="M178" s="27" t="str">
        <f aca="false">IF(F178="","",DATE(YEAR(F178),MONTH(F178),1))</f>
        <v/>
      </c>
    </row>
    <row r="179" customFormat="false" ht="15" hidden="false" customHeight="false" outlineLevel="0" collapsed="false">
      <c r="A179" s="21"/>
      <c r="B179" s="21"/>
      <c r="C179" s="22"/>
      <c r="D179" s="23"/>
      <c r="E179" s="23"/>
      <c r="F179" s="22"/>
      <c r="G179" s="23"/>
      <c r="H179" s="24" t="str">
        <f aca="false">IF(G179="","",G179*'Booth Setup'!$C$8)</f>
        <v/>
      </c>
      <c r="I179" s="24" t="str">
        <f aca="false">IF(G179="","",G179*'Booth Setup'!$C$9)</f>
        <v/>
      </c>
      <c r="J179" s="24" t="str">
        <f aca="false">IF(G179="","",G179-H179-I179-D179)</f>
        <v/>
      </c>
      <c r="K179" s="25" t="str">
        <f aca="true">IF(C179="","",IF(F179="",TODAY(),F179)-C179)</f>
        <v/>
      </c>
      <c r="L179" s="26" t="str">
        <f aca="false">IF(A179="","",IF(G179&lt;&gt;"","Sold",IF(K179&gt;'Booth Setup'!$C$12,"STALE - mark down","In booth")))</f>
        <v/>
      </c>
      <c r="M179" s="27" t="str">
        <f aca="false">IF(F179="","",DATE(YEAR(F179),MONTH(F179),1))</f>
        <v/>
      </c>
    </row>
    <row r="180" customFormat="false" ht="15" hidden="false" customHeight="false" outlineLevel="0" collapsed="false">
      <c r="A180" s="21"/>
      <c r="B180" s="21"/>
      <c r="C180" s="22"/>
      <c r="D180" s="23"/>
      <c r="E180" s="23"/>
      <c r="F180" s="22"/>
      <c r="G180" s="23"/>
      <c r="H180" s="24" t="str">
        <f aca="false">IF(G180="","",G180*'Booth Setup'!$C$8)</f>
        <v/>
      </c>
      <c r="I180" s="24" t="str">
        <f aca="false">IF(G180="","",G180*'Booth Setup'!$C$9)</f>
        <v/>
      </c>
      <c r="J180" s="24" t="str">
        <f aca="false">IF(G180="","",G180-H180-I180-D180)</f>
        <v/>
      </c>
      <c r="K180" s="25" t="str">
        <f aca="true">IF(C180="","",IF(F180="",TODAY(),F180)-C180)</f>
        <v/>
      </c>
      <c r="L180" s="26" t="str">
        <f aca="false">IF(A180="","",IF(G180&lt;&gt;"","Sold",IF(K180&gt;'Booth Setup'!$C$12,"STALE - mark down","In booth")))</f>
        <v/>
      </c>
      <c r="M180" s="27" t="str">
        <f aca="false">IF(F180="","",DATE(YEAR(F180),MONTH(F180),1))</f>
        <v/>
      </c>
    </row>
    <row r="181" customFormat="false" ht="15" hidden="false" customHeight="false" outlineLevel="0" collapsed="false">
      <c r="A181" s="21"/>
      <c r="B181" s="21"/>
      <c r="C181" s="22"/>
      <c r="D181" s="23"/>
      <c r="E181" s="23"/>
      <c r="F181" s="22"/>
      <c r="G181" s="23"/>
      <c r="H181" s="24" t="str">
        <f aca="false">IF(G181="","",G181*'Booth Setup'!$C$8)</f>
        <v/>
      </c>
      <c r="I181" s="24" t="str">
        <f aca="false">IF(G181="","",G181*'Booth Setup'!$C$9)</f>
        <v/>
      </c>
      <c r="J181" s="24" t="str">
        <f aca="false">IF(G181="","",G181-H181-I181-D181)</f>
        <v/>
      </c>
      <c r="K181" s="25" t="str">
        <f aca="true">IF(C181="","",IF(F181="",TODAY(),F181)-C181)</f>
        <v/>
      </c>
      <c r="L181" s="26" t="str">
        <f aca="false">IF(A181="","",IF(G181&lt;&gt;"","Sold",IF(K181&gt;'Booth Setup'!$C$12,"STALE - mark down","In booth")))</f>
        <v/>
      </c>
      <c r="M181" s="27" t="str">
        <f aca="false">IF(F181="","",DATE(YEAR(F181),MONTH(F181),1))</f>
        <v/>
      </c>
    </row>
    <row r="182" customFormat="false" ht="15" hidden="false" customHeight="false" outlineLevel="0" collapsed="false">
      <c r="A182" s="21"/>
      <c r="B182" s="21"/>
      <c r="C182" s="22"/>
      <c r="D182" s="23"/>
      <c r="E182" s="23"/>
      <c r="F182" s="22"/>
      <c r="G182" s="23"/>
      <c r="H182" s="24" t="str">
        <f aca="false">IF(G182="","",G182*'Booth Setup'!$C$8)</f>
        <v/>
      </c>
      <c r="I182" s="24" t="str">
        <f aca="false">IF(G182="","",G182*'Booth Setup'!$C$9)</f>
        <v/>
      </c>
      <c r="J182" s="24" t="str">
        <f aca="false">IF(G182="","",G182-H182-I182-D182)</f>
        <v/>
      </c>
      <c r="K182" s="25" t="str">
        <f aca="true">IF(C182="","",IF(F182="",TODAY(),F182)-C182)</f>
        <v/>
      </c>
      <c r="L182" s="26" t="str">
        <f aca="false">IF(A182="","",IF(G182&lt;&gt;"","Sold",IF(K182&gt;'Booth Setup'!$C$12,"STALE - mark down","In booth")))</f>
        <v/>
      </c>
      <c r="M182" s="27" t="str">
        <f aca="false">IF(F182="","",DATE(YEAR(F182),MONTH(F182),1))</f>
        <v/>
      </c>
    </row>
    <row r="183" customFormat="false" ht="15" hidden="false" customHeight="false" outlineLevel="0" collapsed="false">
      <c r="A183" s="21"/>
      <c r="B183" s="21"/>
      <c r="C183" s="22"/>
      <c r="D183" s="23"/>
      <c r="E183" s="23"/>
      <c r="F183" s="22"/>
      <c r="G183" s="23"/>
      <c r="H183" s="24" t="str">
        <f aca="false">IF(G183="","",G183*'Booth Setup'!$C$8)</f>
        <v/>
      </c>
      <c r="I183" s="24" t="str">
        <f aca="false">IF(G183="","",G183*'Booth Setup'!$C$9)</f>
        <v/>
      </c>
      <c r="J183" s="24" t="str">
        <f aca="false">IF(G183="","",G183-H183-I183-D183)</f>
        <v/>
      </c>
      <c r="K183" s="25" t="str">
        <f aca="true">IF(C183="","",IF(F183="",TODAY(),F183)-C183)</f>
        <v/>
      </c>
      <c r="L183" s="26" t="str">
        <f aca="false">IF(A183="","",IF(G183&lt;&gt;"","Sold",IF(K183&gt;'Booth Setup'!$C$12,"STALE - mark down","In booth")))</f>
        <v/>
      </c>
      <c r="M183" s="27" t="str">
        <f aca="false">IF(F183="","",DATE(YEAR(F183),MONTH(F183),1))</f>
        <v/>
      </c>
    </row>
    <row r="184" customFormat="false" ht="15" hidden="false" customHeight="false" outlineLevel="0" collapsed="false">
      <c r="A184" s="21"/>
      <c r="B184" s="21"/>
      <c r="C184" s="22"/>
      <c r="D184" s="23"/>
      <c r="E184" s="23"/>
      <c r="F184" s="22"/>
      <c r="G184" s="23"/>
      <c r="H184" s="24" t="str">
        <f aca="false">IF(G184="","",G184*'Booth Setup'!$C$8)</f>
        <v/>
      </c>
      <c r="I184" s="24" t="str">
        <f aca="false">IF(G184="","",G184*'Booth Setup'!$C$9)</f>
        <v/>
      </c>
      <c r="J184" s="24" t="str">
        <f aca="false">IF(G184="","",G184-H184-I184-D184)</f>
        <v/>
      </c>
      <c r="K184" s="25" t="str">
        <f aca="true">IF(C184="","",IF(F184="",TODAY(),F184)-C184)</f>
        <v/>
      </c>
      <c r="L184" s="26" t="str">
        <f aca="false">IF(A184="","",IF(G184&lt;&gt;"","Sold",IF(K184&gt;'Booth Setup'!$C$12,"STALE - mark down","In booth")))</f>
        <v/>
      </c>
      <c r="M184" s="27" t="str">
        <f aca="false">IF(F184="","",DATE(YEAR(F184),MONTH(F184),1))</f>
        <v/>
      </c>
    </row>
    <row r="185" customFormat="false" ht="15" hidden="false" customHeight="false" outlineLevel="0" collapsed="false">
      <c r="A185" s="21"/>
      <c r="B185" s="21"/>
      <c r="C185" s="22"/>
      <c r="D185" s="23"/>
      <c r="E185" s="23"/>
      <c r="F185" s="22"/>
      <c r="G185" s="23"/>
      <c r="H185" s="24" t="str">
        <f aca="false">IF(G185="","",G185*'Booth Setup'!$C$8)</f>
        <v/>
      </c>
      <c r="I185" s="24" t="str">
        <f aca="false">IF(G185="","",G185*'Booth Setup'!$C$9)</f>
        <v/>
      </c>
      <c r="J185" s="24" t="str">
        <f aca="false">IF(G185="","",G185-H185-I185-D185)</f>
        <v/>
      </c>
      <c r="K185" s="25" t="str">
        <f aca="true">IF(C185="","",IF(F185="",TODAY(),F185)-C185)</f>
        <v/>
      </c>
      <c r="L185" s="26" t="str">
        <f aca="false">IF(A185="","",IF(G185&lt;&gt;"","Sold",IF(K185&gt;'Booth Setup'!$C$12,"STALE - mark down","In booth")))</f>
        <v/>
      </c>
      <c r="M185" s="27" t="str">
        <f aca="false">IF(F185="","",DATE(YEAR(F185),MONTH(F185),1))</f>
        <v/>
      </c>
    </row>
    <row r="186" customFormat="false" ht="15" hidden="false" customHeight="false" outlineLevel="0" collapsed="false">
      <c r="A186" s="21"/>
      <c r="B186" s="21"/>
      <c r="C186" s="22"/>
      <c r="D186" s="23"/>
      <c r="E186" s="23"/>
      <c r="F186" s="22"/>
      <c r="G186" s="23"/>
      <c r="H186" s="24" t="str">
        <f aca="false">IF(G186="","",G186*'Booth Setup'!$C$8)</f>
        <v/>
      </c>
      <c r="I186" s="24" t="str">
        <f aca="false">IF(G186="","",G186*'Booth Setup'!$C$9)</f>
        <v/>
      </c>
      <c r="J186" s="24" t="str">
        <f aca="false">IF(G186="","",G186-H186-I186-D186)</f>
        <v/>
      </c>
      <c r="K186" s="25" t="str">
        <f aca="true">IF(C186="","",IF(F186="",TODAY(),F186)-C186)</f>
        <v/>
      </c>
      <c r="L186" s="26" t="str">
        <f aca="false">IF(A186="","",IF(G186&lt;&gt;"","Sold",IF(K186&gt;'Booth Setup'!$C$12,"STALE - mark down","In booth")))</f>
        <v/>
      </c>
      <c r="M186" s="27" t="str">
        <f aca="false">IF(F186="","",DATE(YEAR(F186),MONTH(F186),1))</f>
        <v/>
      </c>
    </row>
    <row r="187" customFormat="false" ht="15" hidden="false" customHeight="false" outlineLevel="0" collapsed="false">
      <c r="A187" s="21"/>
      <c r="B187" s="21"/>
      <c r="C187" s="22"/>
      <c r="D187" s="23"/>
      <c r="E187" s="23"/>
      <c r="F187" s="22"/>
      <c r="G187" s="23"/>
      <c r="H187" s="24" t="str">
        <f aca="false">IF(G187="","",G187*'Booth Setup'!$C$8)</f>
        <v/>
      </c>
      <c r="I187" s="24" t="str">
        <f aca="false">IF(G187="","",G187*'Booth Setup'!$C$9)</f>
        <v/>
      </c>
      <c r="J187" s="24" t="str">
        <f aca="false">IF(G187="","",G187-H187-I187-D187)</f>
        <v/>
      </c>
      <c r="K187" s="25" t="str">
        <f aca="true">IF(C187="","",IF(F187="",TODAY(),F187)-C187)</f>
        <v/>
      </c>
      <c r="L187" s="26" t="str">
        <f aca="false">IF(A187="","",IF(G187&lt;&gt;"","Sold",IF(K187&gt;'Booth Setup'!$C$12,"STALE - mark down","In booth")))</f>
        <v/>
      </c>
      <c r="M187" s="27" t="str">
        <f aca="false">IF(F187="","",DATE(YEAR(F187),MONTH(F187),1))</f>
        <v/>
      </c>
    </row>
    <row r="188" customFormat="false" ht="15" hidden="false" customHeight="false" outlineLevel="0" collapsed="false">
      <c r="A188" s="21"/>
      <c r="B188" s="21"/>
      <c r="C188" s="22"/>
      <c r="D188" s="23"/>
      <c r="E188" s="23"/>
      <c r="F188" s="22"/>
      <c r="G188" s="23"/>
      <c r="H188" s="24" t="str">
        <f aca="false">IF(G188="","",G188*'Booth Setup'!$C$8)</f>
        <v/>
      </c>
      <c r="I188" s="24" t="str">
        <f aca="false">IF(G188="","",G188*'Booth Setup'!$C$9)</f>
        <v/>
      </c>
      <c r="J188" s="24" t="str">
        <f aca="false">IF(G188="","",G188-H188-I188-D188)</f>
        <v/>
      </c>
      <c r="K188" s="25" t="str">
        <f aca="true">IF(C188="","",IF(F188="",TODAY(),F188)-C188)</f>
        <v/>
      </c>
      <c r="L188" s="26" t="str">
        <f aca="false">IF(A188="","",IF(G188&lt;&gt;"","Sold",IF(K188&gt;'Booth Setup'!$C$12,"STALE - mark down","In booth")))</f>
        <v/>
      </c>
      <c r="M188" s="27" t="str">
        <f aca="false">IF(F188="","",DATE(YEAR(F188),MONTH(F188),1))</f>
        <v/>
      </c>
    </row>
    <row r="189" customFormat="false" ht="15" hidden="false" customHeight="false" outlineLevel="0" collapsed="false">
      <c r="A189" s="21"/>
      <c r="B189" s="21"/>
      <c r="C189" s="22"/>
      <c r="D189" s="23"/>
      <c r="E189" s="23"/>
      <c r="F189" s="22"/>
      <c r="G189" s="23"/>
      <c r="H189" s="24" t="str">
        <f aca="false">IF(G189="","",G189*'Booth Setup'!$C$8)</f>
        <v/>
      </c>
      <c r="I189" s="24" t="str">
        <f aca="false">IF(G189="","",G189*'Booth Setup'!$C$9)</f>
        <v/>
      </c>
      <c r="J189" s="24" t="str">
        <f aca="false">IF(G189="","",G189-H189-I189-D189)</f>
        <v/>
      </c>
      <c r="K189" s="25" t="str">
        <f aca="true">IF(C189="","",IF(F189="",TODAY(),F189)-C189)</f>
        <v/>
      </c>
      <c r="L189" s="26" t="str">
        <f aca="false">IF(A189="","",IF(G189&lt;&gt;"","Sold",IF(K189&gt;'Booth Setup'!$C$12,"STALE - mark down","In booth")))</f>
        <v/>
      </c>
      <c r="M189" s="27" t="str">
        <f aca="false">IF(F189="","",DATE(YEAR(F189),MONTH(F189),1))</f>
        <v/>
      </c>
    </row>
    <row r="190" customFormat="false" ht="15" hidden="false" customHeight="false" outlineLevel="0" collapsed="false">
      <c r="A190" s="21"/>
      <c r="B190" s="21"/>
      <c r="C190" s="22"/>
      <c r="D190" s="23"/>
      <c r="E190" s="23"/>
      <c r="F190" s="22"/>
      <c r="G190" s="23"/>
      <c r="H190" s="24" t="str">
        <f aca="false">IF(G190="","",G190*'Booth Setup'!$C$8)</f>
        <v/>
      </c>
      <c r="I190" s="24" t="str">
        <f aca="false">IF(G190="","",G190*'Booth Setup'!$C$9)</f>
        <v/>
      </c>
      <c r="J190" s="24" t="str">
        <f aca="false">IF(G190="","",G190-H190-I190-D190)</f>
        <v/>
      </c>
      <c r="K190" s="25" t="str">
        <f aca="true">IF(C190="","",IF(F190="",TODAY(),F190)-C190)</f>
        <v/>
      </c>
      <c r="L190" s="26" t="str">
        <f aca="false">IF(A190="","",IF(G190&lt;&gt;"","Sold",IF(K190&gt;'Booth Setup'!$C$12,"STALE - mark down","In booth")))</f>
        <v/>
      </c>
      <c r="M190" s="27" t="str">
        <f aca="false">IF(F190="","",DATE(YEAR(F190),MONTH(F190),1))</f>
        <v/>
      </c>
    </row>
    <row r="191" customFormat="false" ht="15" hidden="false" customHeight="false" outlineLevel="0" collapsed="false">
      <c r="A191" s="21"/>
      <c r="B191" s="21"/>
      <c r="C191" s="22"/>
      <c r="D191" s="23"/>
      <c r="E191" s="23"/>
      <c r="F191" s="22"/>
      <c r="G191" s="23"/>
      <c r="H191" s="24" t="str">
        <f aca="false">IF(G191="","",G191*'Booth Setup'!$C$8)</f>
        <v/>
      </c>
      <c r="I191" s="24" t="str">
        <f aca="false">IF(G191="","",G191*'Booth Setup'!$C$9)</f>
        <v/>
      </c>
      <c r="J191" s="24" t="str">
        <f aca="false">IF(G191="","",G191-H191-I191-D191)</f>
        <v/>
      </c>
      <c r="K191" s="25" t="str">
        <f aca="true">IF(C191="","",IF(F191="",TODAY(),F191)-C191)</f>
        <v/>
      </c>
      <c r="L191" s="26" t="str">
        <f aca="false">IF(A191="","",IF(G191&lt;&gt;"","Sold",IF(K191&gt;'Booth Setup'!$C$12,"STALE - mark down","In booth")))</f>
        <v/>
      </c>
      <c r="M191" s="27" t="str">
        <f aca="false">IF(F191="","",DATE(YEAR(F191),MONTH(F191),1))</f>
        <v/>
      </c>
    </row>
    <row r="192" customFormat="false" ht="15" hidden="false" customHeight="false" outlineLevel="0" collapsed="false">
      <c r="A192" s="21"/>
      <c r="B192" s="21"/>
      <c r="C192" s="22"/>
      <c r="D192" s="23"/>
      <c r="E192" s="23"/>
      <c r="F192" s="22"/>
      <c r="G192" s="23"/>
      <c r="H192" s="24" t="str">
        <f aca="false">IF(G192="","",G192*'Booth Setup'!$C$8)</f>
        <v/>
      </c>
      <c r="I192" s="24" t="str">
        <f aca="false">IF(G192="","",G192*'Booth Setup'!$C$9)</f>
        <v/>
      </c>
      <c r="J192" s="24" t="str">
        <f aca="false">IF(G192="","",G192-H192-I192-D192)</f>
        <v/>
      </c>
      <c r="K192" s="25" t="str">
        <f aca="true">IF(C192="","",IF(F192="",TODAY(),F192)-C192)</f>
        <v/>
      </c>
      <c r="L192" s="26" t="str">
        <f aca="false">IF(A192="","",IF(G192&lt;&gt;"","Sold",IF(K192&gt;'Booth Setup'!$C$12,"STALE - mark down","In booth")))</f>
        <v/>
      </c>
      <c r="M192" s="27" t="str">
        <f aca="false">IF(F192="","",DATE(YEAR(F192),MONTH(F192),1))</f>
        <v/>
      </c>
    </row>
    <row r="193" customFormat="false" ht="15" hidden="false" customHeight="false" outlineLevel="0" collapsed="false">
      <c r="A193" s="21"/>
      <c r="B193" s="21"/>
      <c r="C193" s="22"/>
      <c r="D193" s="23"/>
      <c r="E193" s="23"/>
      <c r="F193" s="22"/>
      <c r="G193" s="23"/>
      <c r="H193" s="24" t="str">
        <f aca="false">IF(G193="","",G193*'Booth Setup'!$C$8)</f>
        <v/>
      </c>
      <c r="I193" s="24" t="str">
        <f aca="false">IF(G193="","",G193*'Booth Setup'!$C$9)</f>
        <v/>
      </c>
      <c r="J193" s="24" t="str">
        <f aca="false">IF(G193="","",G193-H193-I193-D193)</f>
        <v/>
      </c>
      <c r="K193" s="25" t="str">
        <f aca="true">IF(C193="","",IF(F193="",TODAY(),F193)-C193)</f>
        <v/>
      </c>
      <c r="L193" s="26" t="str">
        <f aca="false">IF(A193="","",IF(G193&lt;&gt;"","Sold",IF(K193&gt;'Booth Setup'!$C$12,"STALE - mark down","In booth")))</f>
        <v/>
      </c>
      <c r="M193" s="27" t="str">
        <f aca="false">IF(F193="","",DATE(YEAR(F193),MONTH(F193),1))</f>
        <v/>
      </c>
    </row>
    <row r="194" customFormat="false" ht="15" hidden="false" customHeight="false" outlineLevel="0" collapsed="false">
      <c r="A194" s="21"/>
      <c r="B194" s="21"/>
      <c r="C194" s="22"/>
      <c r="D194" s="23"/>
      <c r="E194" s="23"/>
      <c r="F194" s="22"/>
      <c r="G194" s="23"/>
      <c r="H194" s="24" t="str">
        <f aca="false">IF(G194="","",G194*'Booth Setup'!$C$8)</f>
        <v/>
      </c>
      <c r="I194" s="24" t="str">
        <f aca="false">IF(G194="","",G194*'Booth Setup'!$C$9)</f>
        <v/>
      </c>
      <c r="J194" s="24" t="str">
        <f aca="false">IF(G194="","",G194-H194-I194-D194)</f>
        <v/>
      </c>
      <c r="K194" s="25" t="str">
        <f aca="true">IF(C194="","",IF(F194="",TODAY(),F194)-C194)</f>
        <v/>
      </c>
      <c r="L194" s="26" t="str">
        <f aca="false">IF(A194="","",IF(G194&lt;&gt;"","Sold",IF(K194&gt;'Booth Setup'!$C$12,"STALE - mark down","In booth")))</f>
        <v/>
      </c>
      <c r="M194" s="27" t="str">
        <f aca="false">IF(F194="","",DATE(YEAR(F194),MONTH(F194),1))</f>
        <v/>
      </c>
    </row>
    <row r="195" customFormat="false" ht="15" hidden="false" customHeight="false" outlineLevel="0" collapsed="false">
      <c r="A195" s="21"/>
      <c r="B195" s="21"/>
      <c r="C195" s="22"/>
      <c r="D195" s="23"/>
      <c r="E195" s="23"/>
      <c r="F195" s="22"/>
      <c r="G195" s="23"/>
      <c r="H195" s="24" t="str">
        <f aca="false">IF(G195="","",G195*'Booth Setup'!$C$8)</f>
        <v/>
      </c>
      <c r="I195" s="24" t="str">
        <f aca="false">IF(G195="","",G195*'Booth Setup'!$C$9)</f>
        <v/>
      </c>
      <c r="J195" s="24" t="str">
        <f aca="false">IF(G195="","",G195-H195-I195-D195)</f>
        <v/>
      </c>
      <c r="K195" s="25" t="str">
        <f aca="true">IF(C195="","",IF(F195="",TODAY(),F195)-C195)</f>
        <v/>
      </c>
      <c r="L195" s="26" t="str">
        <f aca="false">IF(A195="","",IF(G195&lt;&gt;"","Sold",IF(K195&gt;'Booth Setup'!$C$12,"STALE - mark down","In booth")))</f>
        <v/>
      </c>
      <c r="M195" s="27" t="str">
        <f aca="false">IF(F195="","",DATE(YEAR(F195),MONTH(F195),1))</f>
        <v/>
      </c>
    </row>
    <row r="196" customFormat="false" ht="15" hidden="false" customHeight="false" outlineLevel="0" collapsed="false">
      <c r="A196" s="21"/>
      <c r="B196" s="21"/>
      <c r="C196" s="22"/>
      <c r="D196" s="23"/>
      <c r="E196" s="23"/>
      <c r="F196" s="22"/>
      <c r="G196" s="23"/>
      <c r="H196" s="24" t="str">
        <f aca="false">IF(G196="","",G196*'Booth Setup'!$C$8)</f>
        <v/>
      </c>
      <c r="I196" s="24" t="str">
        <f aca="false">IF(G196="","",G196*'Booth Setup'!$C$9)</f>
        <v/>
      </c>
      <c r="J196" s="24" t="str">
        <f aca="false">IF(G196="","",G196-H196-I196-D196)</f>
        <v/>
      </c>
      <c r="K196" s="25" t="str">
        <f aca="true">IF(C196="","",IF(F196="",TODAY(),F196)-C196)</f>
        <v/>
      </c>
      <c r="L196" s="26" t="str">
        <f aca="false">IF(A196="","",IF(G196&lt;&gt;"","Sold",IF(K196&gt;'Booth Setup'!$C$12,"STALE - mark down","In booth")))</f>
        <v/>
      </c>
      <c r="M196" s="27" t="str">
        <f aca="false">IF(F196="","",DATE(YEAR(F196),MONTH(F196),1))</f>
        <v/>
      </c>
    </row>
    <row r="197" customFormat="false" ht="15" hidden="false" customHeight="false" outlineLevel="0" collapsed="false">
      <c r="A197" s="21"/>
      <c r="B197" s="21"/>
      <c r="C197" s="22"/>
      <c r="D197" s="23"/>
      <c r="E197" s="23"/>
      <c r="F197" s="22"/>
      <c r="G197" s="23"/>
      <c r="H197" s="24" t="str">
        <f aca="false">IF(G197="","",G197*'Booth Setup'!$C$8)</f>
        <v/>
      </c>
      <c r="I197" s="24" t="str">
        <f aca="false">IF(G197="","",G197*'Booth Setup'!$C$9)</f>
        <v/>
      </c>
      <c r="J197" s="24" t="str">
        <f aca="false">IF(G197="","",G197-H197-I197-D197)</f>
        <v/>
      </c>
      <c r="K197" s="25" t="str">
        <f aca="true">IF(C197="","",IF(F197="",TODAY(),F197)-C197)</f>
        <v/>
      </c>
      <c r="L197" s="26" t="str">
        <f aca="false">IF(A197="","",IF(G197&lt;&gt;"","Sold",IF(K197&gt;'Booth Setup'!$C$12,"STALE - mark down","In booth")))</f>
        <v/>
      </c>
      <c r="M197" s="27" t="str">
        <f aca="false">IF(F197="","",DATE(YEAR(F197),MONTH(F197),1))</f>
        <v/>
      </c>
    </row>
    <row r="198" customFormat="false" ht="15" hidden="false" customHeight="false" outlineLevel="0" collapsed="false">
      <c r="A198" s="21"/>
      <c r="B198" s="21"/>
      <c r="C198" s="22"/>
      <c r="D198" s="23"/>
      <c r="E198" s="23"/>
      <c r="F198" s="22"/>
      <c r="G198" s="23"/>
      <c r="H198" s="24" t="str">
        <f aca="false">IF(G198="","",G198*'Booth Setup'!$C$8)</f>
        <v/>
      </c>
      <c r="I198" s="24" t="str">
        <f aca="false">IF(G198="","",G198*'Booth Setup'!$C$9)</f>
        <v/>
      </c>
      <c r="J198" s="24" t="str">
        <f aca="false">IF(G198="","",G198-H198-I198-D198)</f>
        <v/>
      </c>
      <c r="K198" s="25" t="str">
        <f aca="true">IF(C198="","",IF(F198="",TODAY(),F198)-C198)</f>
        <v/>
      </c>
      <c r="L198" s="26" t="str">
        <f aca="false">IF(A198="","",IF(G198&lt;&gt;"","Sold",IF(K198&gt;'Booth Setup'!$C$12,"STALE - mark down","In booth")))</f>
        <v/>
      </c>
      <c r="M198" s="27" t="str">
        <f aca="false">IF(F198="","",DATE(YEAR(F198),MONTH(F198),1))</f>
        <v/>
      </c>
    </row>
    <row r="199" customFormat="false" ht="15" hidden="false" customHeight="false" outlineLevel="0" collapsed="false">
      <c r="A199" s="21"/>
      <c r="B199" s="21"/>
      <c r="C199" s="22"/>
      <c r="D199" s="23"/>
      <c r="E199" s="23"/>
      <c r="F199" s="22"/>
      <c r="G199" s="23"/>
      <c r="H199" s="24" t="str">
        <f aca="false">IF(G199="","",G199*'Booth Setup'!$C$8)</f>
        <v/>
      </c>
      <c r="I199" s="24" t="str">
        <f aca="false">IF(G199="","",G199*'Booth Setup'!$C$9)</f>
        <v/>
      </c>
      <c r="J199" s="24" t="str">
        <f aca="false">IF(G199="","",G199-H199-I199-D199)</f>
        <v/>
      </c>
      <c r="K199" s="25" t="str">
        <f aca="true">IF(C199="","",IF(F199="",TODAY(),F199)-C199)</f>
        <v/>
      </c>
      <c r="L199" s="26" t="str">
        <f aca="false">IF(A199="","",IF(G199&lt;&gt;"","Sold",IF(K199&gt;'Booth Setup'!$C$12,"STALE - mark down","In booth")))</f>
        <v/>
      </c>
      <c r="M199" s="27" t="str">
        <f aca="false">IF(F199="","",DATE(YEAR(F199),MONTH(F199),1))</f>
        <v/>
      </c>
    </row>
    <row r="200" customFormat="false" ht="15" hidden="false" customHeight="false" outlineLevel="0" collapsed="false">
      <c r="A200" s="21"/>
      <c r="B200" s="21"/>
      <c r="C200" s="22"/>
      <c r="D200" s="23"/>
      <c r="E200" s="23"/>
      <c r="F200" s="22"/>
      <c r="G200" s="23"/>
      <c r="H200" s="24" t="str">
        <f aca="false">IF(G200="","",G200*'Booth Setup'!$C$8)</f>
        <v/>
      </c>
      <c r="I200" s="24" t="str">
        <f aca="false">IF(G200="","",G200*'Booth Setup'!$C$9)</f>
        <v/>
      </c>
      <c r="J200" s="24" t="str">
        <f aca="false">IF(G200="","",G200-H200-I200-D200)</f>
        <v/>
      </c>
      <c r="K200" s="25" t="str">
        <f aca="true">IF(C200="","",IF(F200="",TODAY(),F200)-C200)</f>
        <v/>
      </c>
      <c r="L200" s="26" t="str">
        <f aca="false">IF(A200="","",IF(G200&lt;&gt;"","Sold",IF(K200&gt;'Booth Setup'!$C$12,"STALE - mark down","In booth")))</f>
        <v/>
      </c>
      <c r="M200" s="27" t="str">
        <f aca="false">IF(F200="","",DATE(YEAR(F200),MONTH(F200),1))</f>
        <v/>
      </c>
    </row>
    <row r="201" customFormat="false" ht="15" hidden="false" customHeight="false" outlineLevel="0" collapsed="false">
      <c r="A201" s="21"/>
      <c r="B201" s="21"/>
      <c r="C201" s="22"/>
      <c r="D201" s="23"/>
      <c r="E201" s="23"/>
      <c r="F201" s="22"/>
      <c r="G201" s="23"/>
      <c r="H201" s="24" t="str">
        <f aca="false">IF(G201="","",G201*'Booth Setup'!$C$8)</f>
        <v/>
      </c>
      <c r="I201" s="24" t="str">
        <f aca="false">IF(G201="","",G201*'Booth Setup'!$C$9)</f>
        <v/>
      </c>
      <c r="J201" s="24" t="str">
        <f aca="false">IF(G201="","",G201-H201-I201-D201)</f>
        <v/>
      </c>
      <c r="K201" s="25" t="str">
        <f aca="true">IF(C201="","",IF(F201="",TODAY(),F201)-C201)</f>
        <v/>
      </c>
      <c r="L201" s="26" t="str">
        <f aca="false">IF(A201="","",IF(G201&lt;&gt;"","Sold",IF(K201&gt;'Booth Setup'!$C$12,"STALE - mark down","In booth")))</f>
        <v/>
      </c>
      <c r="M201" s="27" t="str">
        <f aca="false">IF(F201="","",DATE(YEAR(F201),MONTH(F201),1))</f>
        <v/>
      </c>
    </row>
    <row r="202" customFormat="false" ht="15" hidden="false" customHeight="false" outlineLevel="0" collapsed="false">
      <c r="A202" s="21"/>
      <c r="B202" s="21"/>
      <c r="C202" s="22"/>
      <c r="D202" s="23"/>
      <c r="E202" s="23"/>
      <c r="F202" s="22"/>
      <c r="G202" s="23"/>
      <c r="H202" s="24" t="str">
        <f aca="false">IF(G202="","",G202*'Booth Setup'!$C$8)</f>
        <v/>
      </c>
      <c r="I202" s="24" t="str">
        <f aca="false">IF(G202="","",G202*'Booth Setup'!$C$9)</f>
        <v/>
      </c>
      <c r="J202" s="24" t="str">
        <f aca="false">IF(G202="","",G202-H202-I202-D202)</f>
        <v/>
      </c>
      <c r="K202" s="25" t="str">
        <f aca="true">IF(C202="","",IF(F202="",TODAY(),F202)-C202)</f>
        <v/>
      </c>
      <c r="L202" s="26" t="str">
        <f aca="false">IF(A202="","",IF(G202&lt;&gt;"","Sold",IF(K202&gt;'Booth Setup'!$C$12,"STALE - mark down","In booth")))</f>
        <v/>
      </c>
      <c r="M202" s="27" t="str">
        <f aca="false">IF(F202="","",DATE(YEAR(F202),MONTH(F202),1))</f>
        <v/>
      </c>
    </row>
    <row r="203" customFormat="false" ht="15" hidden="false" customHeight="false" outlineLevel="0" collapsed="false">
      <c r="A203" s="21"/>
      <c r="B203" s="21"/>
      <c r="C203" s="22"/>
      <c r="D203" s="23"/>
      <c r="E203" s="23"/>
      <c r="F203" s="22"/>
      <c r="G203" s="23"/>
      <c r="H203" s="24" t="str">
        <f aca="false">IF(G203="","",G203*'Booth Setup'!$C$8)</f>
        <v/>
      </c>
      <c r="I203" s="24" t="str">
        <f aca="false">IF(G203="","",G203*'Booth Setup'!$C$9)</f>
        <v/>
      </c>
      <c r="J203" s="24" t="str">
        <f aca="false">IF(G203="","",G203-H203-I203-D203)</f>
        <v/>
      </c>
      <c r="K203" s="25" t="str">
        <f aca="true">IF(C203="","",IF(F203="",TODAY(),F203)-C203)</f>
        <v/>
      </c>
      <c r="L203" s="26" t="str">
        <f aca="false">IF(A203="","",IF(G203&lt;&gt;"","Sold",IF(K203&gt;'Booth Setup'!$C$12,"STALE - mark down","In booth")))</f>
        <v/>
      </c>
      <c r="M203" s="27" t="str">
        <f aca="false">IF(F203="","",DATE(YEAR(F203),MONTH(F203),1))</f>
        <v/>
      </c>
    </row>
    <row r="204" customFormat="false" ht="15" hidden="false" customHeight="false" outlineLevel="0" collapsed="false">
      <c r="A204" s="21"/>
      <c r="B204" s="21"/>
      <c r="C204" s="22"/>
      <c r="D204" s="23"/>
      <c r="E204" s="23"/>
      <c r="F204" s="22"/>
      <c r="G204" s="23"/>
      <c r="H204" s="24" t="str">
        <f aca="false">IF(G204="","",G204*'Booth Setup'!$C$8)</f>
        <v/>
      </c>
      <c r="I204" s="24" t="str">
        <f aca="false">IF(G204="","",G204*'Booth Setup'!$C$9)</f>
        <v/>
      </c>
      <c r="J204" s="24" t="str">
        <f aca="false">IF(G204="","",G204-H204-I204-D204)</f>
        <v/>
      </c>
      <c r="K204" s="25" t="str">
        <f aca="true">IF(C204="","",IF(F204="",TODAY(),F204)-C204)</f>
        <v/>
      </c>
      <c r="L204" s="26" t="str">
        <f aca="false">IF(A204="","",IF(G204&lt;&gt;"","Sold",IF(K204&gt;'Booth Setup'!$C$12,"STALE - mark down","In booth")))</f>
        <v/>
      </c>
      <c r="M204" s="27" t="str">
        <f aca="false">IF(F204="","",DATE(YEAR(F204),MONTH(F204),1))</f>
        <v/>
      </c>
    </row>
    <row r="205" customFormat="false" ht="15" hidden="false" customHeight="false" outlineLevel="0" collapsed="false">
      <c r="A205" s="21"/>
      <c r="B205" s="21"/>
      <c r="C205" s="22"/>
      <c r="D205" s="23"/>
      <c r="E205" s="23"/>
      <c r="F205" s="22"/>
      <c r="G205" s="23"/>
      <c r="H205" s="24" t="str">
        <f aca="false">IF(G205="","",G205*'Booth Setup'!$C$8)</f>
        <v/>
      </c>
      <c r="I205" s="24" t="str">
        <f aca="false">IF(G205="","",G205*'Booth Setup'!$C$9)</f>
        <v/>
      </c>
      <c r="J205" s="24" t="str">
        <f aca="false">IF(G205="","",G205-H205-I205-D205)</f>
        <v/>
      </c>
      <c r="K205" s="25" t="str">
        <f aca="true">IF(C205="","",IF(F205="",TODAY(),F205)-C205)</f>
        <v/>
      </c>
      <c r="L205" s="26" t="str">
        <f aca="false">IF(A205="","",IF(G205&lt;&gt;"","Sold",IF(K205&gt;'Booth Setup'!$C$12,"STALE - mark down","In booth")))</f>
        <v/>
      </c>
      <c r="M205" s="27" t="str">
        <f aca="false">IF(F205="","",DATE(YEAR(F205),MONTH(F205),1))</f>
        <v/>
      </c>
    </row>
    <row r="206" customFormat="false" ht="15" hidden="false" customHeight="false" outlineLevel="0" collapsed="false">
      <c r="A206" s="21"/>
      <c r="B206" s="21"/>
      <c r="C206" s="22"/>
      <c r="D206" s="23"/>
      <c r="E206" s="23"/>
      <c r="F206" s="22"/>
      <c r="G206" s="23"/>
      <c r="H206" s="24" t="str">
        <f aca="false">IF(G206="","",G206*'Booth Setup'!$C$8)</f>
        <v/>
      </c>
      <c r="I206" s="24" t="str">
        <f aca="false">IF(G206="","",G206*'Booth Setup'!$C$9)</f>
        <v/>
      </c>
      <c r="J206" s="24" t="str">
        <f aca="false">IF(G206="","",G206-H206-I206-D206)</f>
        <v/>
      </c>
      <c r="K206" s="25" t="str">
        <f aca="true">IF(C206="","",IF(F206="",TODAY(),F206)-C206)</f>
        <v/>
      </c>
      <c r="L206" s="26" t="str">
        <f aca="false">IF(A206="","",IF(G206&lt;&gt;"","Sold",IF(K206&gt;'Booth Setup'!$C$12,"STALE - mark down","In booth")))</f>
        <v/>
      </c>
      <c r="M206" s="27" t="str">
        <f aca="false">IF(F206="","",DATE(YEAR(F206),MONTH(F206),1))</f>
        <v/>
      </c>
    </row>
    <row r="207" customFormat="false" ht="15" hidden="false" customHeight="false" outlineLevel="0" collapsed="false">
      <c r="A207" s="21"/>
      <c r="B207" s="21"/>
      <c r="C207" s="22"/>
      <c r="D207" s="23"/>
      <c r="E207" s="23"/>
      <c r="F207" s="22"/>
      <c r="G207" s="23"/>
      <c r="H207" s="24" t="str">
        <f aca="false">IF(G207="","",G207*'Booth Setup'!$C$8)</f>
        <v/>
      </c>
      <c r="I207" s="24" t="str">
        <f aca="false">IF(G207="","",G207*'Booth Setup'!$C$9)</f>
        <v/>
      </c>
      <c r="J207" s="24" t="str">
        <f aca="false">IF(G207="","",G207-H207-I207-D207)</f>
        <v/>
      </c>
      <c r="K207" s="25" t="str">
        <f aca="true">IF(C207="","",IF(F207="",TODAY(),F207)-C207)</f>
        <v/>
      </c>
      <c r="L207" s="26" t="str">
        <f aca="false">IF(A207="","",IF(G207&lt;&gt;"","Sold",IF(K207&gt;'Booth Setup'!$C$12,"STALE - mark down","In booth")))</f>
        <v/>
      </c>
      <c r="M207" s="27" t="str">
        <f aca="false">IF(F207="","",DATE(YEAR(F207),MONTH(F207),1))</f>
        <v/>
      </c>
    </row>
    <row r="208" customFormat="false" ht="15" hidden="false" customHeight="false" outlineLevel="0" collapsed="false">
      <c r="A208" s="21"/>
      <c r="B208" s="21"/>
      <c r="C208" s="22"/>
      <c r="D208" s="23"/>
      <c r="E208" s="23"/>
      <c r="F208" s="22"/>
      <c r="G208" s="23"/>
      <c r="H208" s="24" t="str">
        <f aca="false">IF(G208="","",G208*'Booth Setup'!$C$8)</f>
        <v/>
      </c>
      <c r="I208" s="24" t="str">
        <f aca="false">IF(G208="","",G208*'Booth Setup'!$C$9)</f>
        <v/>
      </c>
      <c r="J208" s="24" t="str">
        <f aca="false">IF(G208="","",G208-H208-I208-D208)</f>
        <v/>
      </c>
      <c r="K208" s="25" t="str">
        <f aca="true">IF(C208="","",IF(F208="",TODAY(),F208)-C208)</f>
        <v/>
      </c>
      <c r="L208" s="26" t="str">
        <f aca="false">IF(A208="","",IF(G208&lt;&gt;"","Sold",IF(K208&gt;'Booth Setup'!$C$12,"STALE - mark down","In booth")))</f>
        <v/>
      </c>
      <c r="M208" s="27" t="str">
        <f aca="false">IF(F208="","",DATE(YEAR(F208),MONTH(F208),1))</f>
        <v/>
      </c>
    </row>
    <row r="209" customFormat="false" ht="15" hidden="false" customHeight="false" outlineLevel="0" collapsed="false">
      <c r="A209" s="21"/>
      <c r="B209" s="21"/>
      <c r="C209" s="22"/>
      <c r="D209" s="23"/>
      <c r="E209" s="23"/>
      <c r="F209" s="22"/>
      <c r="G209" s="23"/>
      <c r="H209" s="24" t="str">
        <f aca="false">IF(G209="","",G209*'Booth Setup'!$C$8)</f>
        <v/>
      </c>
      <c r="I209" s="24" t="str">
        <f aca="false">IF(G209="","",G209*'Booth Setup'!$C$9)</f>
        <v/>
      </c>
      <c r="J209" s="24" t="str">
        <f aca="false">IF(G209="","",G209-H209-I209-D209)</f>
        <v/>
      </c>
      <c r="K209" s="25" t="str">
        <f aca="true">IF(C209="","",IF(F209="",TODAY(),F209)-C209)</f>
        <v/>
      </c>
      <c r="L209" s="26" t="str">
        <f aca="false">IF(A209="","",IF(G209&lt;&gt;"","Sold",IF(K209&gt;'Booth Setup'!$C$12,"STALE - mark down","In booth")))</f>
        <v/>
      </c>
      <c r="M209" s="27" t="str">
        <f aca="false">IF(F209="","",DATE(YEAR(F209),MONTH(F209),1))</f>
        <v/>
      </c>
    </row>
    <row r="210" customFormat="false" ht="15" hidden="false" customHeight="false" outlineLevel="0" collapsed="false">
      <c r="A210" s="21"/>
      <c r="B210" s="21"/>
      <c r="C210" s="22"/>
      <c r="D210" s="23"/>
      <c r="E210" s="23"/>
      <c r="F210" s="22"/>
      <c r="G210" s="23"/>
      <c r="H210" s="24" t="str">
        <f aca="false">IF(G210="","",G210*'Booth Setup'!$C$8)</f>
        <v/>
      </c>
      <c r="I210" s="24" t="str">
        <f aca="false">IF(G210="","",G210*'Booth Setup'!$C$9)</f>
        <v/>
      </c>
      <c r="J210" s="24" t="str">
        <f aca="false">IF(G210="","",G210-H210-I210-D210)</f>
        <v/>
      </c>
      <c r="K210" s="25" t="str">
        <f aca="true">IF(C210="","",IF(F210="",TODAY(),F210)-C210)</f>
        <v/>
      </c>
      <c r="L210" s="26" t="str">
        <f aca="false">IF(A210="","",IF(G210&lt;&gt;"","Sold",IF(K210&gt;'Booth Setup'!$C$12,"STALE - mark down","In booth")))</f>
        <v/>
      </c>
      <c r="M210" s="27" t="str">
        <f aca="false">IF(F210="","",DATE(YEAR(F210),MONTH(F210),1))</f>
        <v/>
      </c>
    </row>
    <row r="211" customFormat="false" ht="15" hidden="false" customHeight="false" outlineLevel="0" collapsed="false">
      <c r="A211" s="21"/>
      <c r="B211" s="21"/>
      <c r="C211" s="22"/>
      <c r="D211" s="23"/>
      <c r="E211" s="23"/>
      <c r="F211" s="22"/>
      <c r="G211" s="23"/>
      <c r="H211" s="24" t="str">
        <f aca="false">IF(G211="","",G211*'Booth Setup'!$C$8)</f>
        <v/>
      </c>
      <c r="I211" s="24" t="str">
        <f aca="false">IF(G211="","",G211*'Booth Setup'!$C$9)</f>
        <v/>
      </c>
      <c r="J211" s="24" t="str">
        <f aca="false">IF(G211="","",G211-H211-I211-D211)</f>
        <v/>
      </c>
      <c r="K211" s="25" t="str">
        <f aca="true">IF(C211="","",IF(F211="",TODAY(),F211)-C211)</f>
        <v/>
      </c>
      <c r="L211" s="26" t="str">
        <f aca="false">IF(A211="","",IF(G211&lt;&gt;"","Sold",IF(K211&gt;'Booth Setup'!$C$12,"STALE - mark down","In booth")))</f>
        <v/>
      </c>
      <c r="M211" s="27" t="str">
        <f aca="false">IF(F211="","",DATE(YEAR(F211),MONTH(F211),1))</f>
        <v/>
      </c>
    </row>
    <row r="212" customFormat="false" ht="15" hidden="false" customHeight="false" outlineLevel="0" collapsed="false">
      <c r="A212" s="21"/>
      <c r="B212" s="21"/>
      <c r="C212" s="22"/>
      <c r="D212" s="23"/>
      <c r="E212" s="23"/>
      <c r="F212" s="22"/>
      <c r="G212" s="23"/>
      <c r="H212" s="24" t="str">
        <f aca="false">IF(G212="","",G212*'Booth Setup'!$C$8)</f>
        <v/>
      </c>
      <c r="I212" s="24" t="str">
        <f aca="false">IF(G212="","",G212*'Booth Setup'!$C$9)</f>
        <v/>
      </c>
      <c r="J212" s="24" t="str">
        <f aca="false">IF(G212="","",G212-H212-I212-D212)</f>
        <v/>
      </c>
      <c r="K212" s="25" t="str">
        <f aca="true">IF(C212="","",IF(F212="",TODAY(),F212)-C212)</f>
        <v/>
      </c>
      <c r="L212" s="26" t="str">
        <f aca="false">IF(A212="","",IF(G212&lt;&gt;"","Sold",IF(K212&gt;'Booth Setup'!$C$12,"STALE - mark down","In booth")))</f>
        <v/>
      </c>
      <c r="M212" s="27" t="str">
        <f aca="false">IF(F212="","",DATE(YEAR(F212),MONTH(F212),1))</f>
        <v/>
      </c>
    </row>
    <row r="213" customFormat="false" ht="15" hidden="false" customHeight="false" outlineLevel="0" collapsed="false">
      <c r="A213" s="21"/>
      <c r="B213" s="21"/>
      <c r="C213" s="22"/>
      <c r="D213" s="23"/>
      <c r="E213" s="23"/>
      <c r="F213" s="22"/>
      <c r="G213" s="23"/>
      <c r="H213" s="24" t="str">
        <f aca="false">IF(G213="","",G213*'Booth Setup'!$C$8)</f>
        <v/>
      </c>
      <c r="I213" s="24" t="str">
        <f aca="false">IF(G213="","",G213*'Booth Setup'!$C$9)</f>
        <v/>
      </c>
      <c r="J213" s="24" t="str">
        <f aca="false">IF(G213="","",G213-H213-I213-D213)</f>
        <v/>
      </c>
      <c r="K213" s="25" t="str">
        <f aca="true">IF(C213="","",IF(F213="",TODAY(),F213)-C213)</f>
        <v/>
      </c>
      <c r="L213" s="26" t="str">
        <f aca="false">IF(A213="","",IF(G213&lt;&gt;"","Sold",IF(K213&gt;'Booth Setup'!$C$12,"STALE - mark down","In booth")))</f>
        <v/>
      </c>
      <c r="M213" s="27" t="str">
        <f aca="false">IF(F213="","",DATE(YEAR(F213),MONTH(F213),1))</f>
        <v/>
      </c>
    </row>
    <row r="214" customFormat="false" ht="15" hidden="false" customHeight="false" outlineLevel="0" collapsed="false">
      <c r="A214" s="21"/>
      <c r="B214" s="21"/>
      <c r="C214" s="22"/>
      <c r="D214" s="23"/>
      <c r="E214" s="23"/>
      <c r="F214" s="22"/>
      <c r="G214" s="23"/>
      <c r="H214" s="24" t="str">
        <f aca="false">IF(G214="","",G214*'Booth Setup'!$C$8)</f>
        <v/>
      </c>
      <c r="I214" s="24" t="str">
        <f aca="false">IF(G214="","",G214*'Booth Setup'!$C$9)</f>
        <v/>
      </c>
      <c r="J214" s="24" t="str">
        <f aca="false">IF(G214="","",G214-H214-I214-D214)</f>
        <v/>
      </c>
      <c r="K214" s="25" t="str">
        <f aca="true">IF(C214="","",IF(F214="",TODAY(),F214)-C214)</f>
        <v/>
      </c>
      <c r="L214" s="26" t="str">
        <f aca="false">IF(A214="","",IF(G214&lt;&gt;"","Sold",IF(K214&gt;'Booth Setup'!$C$12,"STALE - mark down","In booth")))</f>
        <v/>
      </c>
      <c r="M214" s="27" t="str">
        <f aca="false">IF(F214="","",DATE(YEAR(F214),MONTH(F214),1))</f>
        <v/>
      </c>
    </row>
    <row r="215" customFormat="false" ht="15" hidden="false" customHeight="false" outlineLevel="0" collapsed="false">
      <c r="A215" s="21"/>
      <c r="B215" s="21"/>
      <c r="C215" s="22"/>
      <c r="D215" s="23"/>
      <c r="E215" s="23"/>
      <c r="F215" s="22"/>
      <c r="G215" s="23"/>
      <c r="H215" s="24" t="str">
        <f aca="false">IF(G215="","",G215*'Booth Setup'!$C$8)</f>
        <v/>
      </c>
      <c r="I215" s="24" t="str">
        <f aca="false">IF(G215="","",G215*'Booth Setup'!$C$9)</f>
        <v/>
      </c>
      <c r="J215" s="24" t="str">
        <f aca="false">IF(G215="","",G215-H215-I215-D215)</f>
        <v/>
      </c>
      <c r="K215" s="25" t="str">
        <f aca="true">IF(C215="","",IF(F215="",TODAY(),F215)-C215)</f>
        <v/>
      </c>
      <c r="L215" s="26" t="str">
        <f aca="false">IF(A215="","",IF(G215&lt;&gt;"","Sold",IF(K215&gt;'Booth Setup'!$C$12,"STALE - mark down","In booth")))</f>
        <v/>
      </c>
      <c r="M215" s="27" t="str">
        <f aca="false">IF(F215="","",DATE(YEAR(F215),MONTH(F215),1))</f>
        <v/>
      </c>
    </row>
    <row r="216" customFormat="false" ht="15" hidden="false" customHeight="false" outlineLevel="0" collapsed="false">
      <c r="A216" s="21"/>
      <c r="B216" s="21"/>
      <c r="C216" s="22"/>
      <c r="D216" s="23"/>
      <c r="E216" s="23"/>
      <c r="F216" s="22"/>
      <c r="G216" s="23"/>
      <c r="H216" s="24" t="str">
        <f aca="false">IF(G216="","",G216*'Booth Setup'!$C$8)</f>
        <v/>
      </c>
      <c r="I216" s="24" t="str">
        <f aca="false">IF(G216="","",G216*'Booth Setup'!$C$9)</f>
        <v/>
      </c>
      <c r="J216" s="24" t="str">
        <f aca="false">IF(G216="","",G216-H216-I216-D216)</f>
        <v/>
      </c>
      <c r="K216" s="25" t="str">
        <f aca="true">IF(C216="","",IF(F216="",TODAY(),F216)-C216)</f>
        <v/>
      </c>
      <c r="L216" s="26" t="str">
        <f aca="false">IF(A216="","",IF(G216&lt;&gt;"","Sold",IF(K216&gt;'Booth Setup'!$C$12,"STALE - mark down","In booth")))</f>
        <v/>
      </c>
      <c r="M216" s="27" t="str">
        <f aca="false">IF(F216="","",DATE(YEAR(F216),MONTH(F216),1))</f>
        <v/>
      </c>
    </row>
    <row r="217" customFormat="false" ht="15" hidden="false" customHeight="false" outlineLevel="0" collapsed="false">
      <c r="A217" s="21"/>
      <c r="B217" s="21"/>
      <c r="C217" s="22"/>
      <c r="D217" s="23"/>
      <c r="E217" s="23"/>
      <c r="F217" s="22"/>
      <c r="G217" s="23"/>
      <c r="H217" s="24" t="str">
        <f aca="false">IF(G217="","",G217*'Booth Setup'!$C$8)</f>
        <v/>
      </c>
      <c r="I217" s="24" t="str">
        <f aca="false">IF(G217="","",G217*'Booth Setup'!$C$9)</f>
        <v/>
      </c>
      <c r="J217" s="24" t="str">
        <f aca="false">IF(G217="","",G217-H217-I217-D217)</f>
        <v/>
      </c>
      <c r="K217" s="25" t="str">
        <f aca="true">IF(C217="","",IF(F217="",TODAY(),F217)-C217)</f>
        <v/>
      </c>
      <c r="L217" s="26" t="str">
        <f aca="false">IF(A217="","",IF(G217&lt;&gt;"","Sold",IF(K217&gt;'Booth Setup'!$C$12,"STALE - mark down","In booth")))</f>
        <v/>
      </c>
      <c r="M217" s="27" t="str">
        <f aca="false">IF(F217="","",DATE(YEAR(F217),MONTH(F217),1))</f>
        <v/>
      </c>
    </row>
    <row r="218" customFormat="false" ht="15" hidden="false" customHeight="false" outlineLevel="0" collapsed="false">
      <c r="A218" s="21"/>
      <c r="B218" s="21"/>
      <c r="C218" s="22"/>
      <c r="D218" s="23"/>
      <c r="E218" s="23"/>
      <c r="F218" s="22"/>
      <c r="G218" s="23"/>
      <c r="H218" s="24" t="str">
        <f aca="false">IF(G218="","",G218*'Booth Setup'!$C$8)</f>
        <v/>
      </c>
      <c r="I218" s="24" t="str">
        <f aca="false">IF(G218="","",G218*'Booth Setup'!$C$9)</f>
        <v/>
      </c>
      <c r="J218" s="24" t="str">
        <f aca="false">IF(G218="","",G218-H218-I218-D218)</f>
        <v/>
      </c>
      <c r="K218" s="25" t="str">
        <f aca="true">IF(C218="","",IF(F218="",TODAY(),F218)-C218)</f>
        <v/>
      </c>
      <c r="L218" s="26" t="str">
        <f aca="false">IF(A218="","",IF(G218&lt;&gt;"","Sold",IF(K218&gt;'Booth Setup'!$C$12,"STALE - mark down","In booth")))</f>
        <v/>
      </c>
      <c r="M218" s="27" t="str">
        <f aca="false">IF(F218="","",DATE(YEAR(F218),MONTH(F218),1))</f>
        <v/>
      </c>
    </row>
    <row r="219" customFormat="false" ht="15" hidden="false" customHeight="false" outlineLevel="0" collapsed="false">
      <c r="A219" s="21"/>
      <c r="B219" s="21"/>
      <c r="C219" s="22"/>
      <c r="D219" s="23"/>
      <c r="E219" s="23"/>
      <c r="F219" s="22"/>
      <c r="G219" s="23"/>
      <c r="H219" s="24" t="str">
        <f aca="false">IF(G219="","",G219*'Booth Setup'!$C$8)</f>
        <v/>
      </c>
      <c r="I219" s="24" t="str">
        <f aca="false">IF(G219="","",G219*'Booth Setup'!$C$9)</f>
        <v/>
      </c>
      <c r="J219" s="24" t="str">
        <f aca="false">IF(G219="","",G219-H219-I219-D219)</f>
        <v/>
      </c>
      <c r="K219" s="25" t="str">
        <f aca="true">IF(C219="","",IF(F219="",TODAY(),F219)-C219)</f>
        <v/>
      </c>
      <c r="L219" s="26" t="str">
        <f aca="false">IF(A219="","",IF(G219&lt;&gt;"","Sold",IF(K219&gt;'Booth Setup'!$C$12,"STALE - mark down","In booth")))</f>
        <v/>
      </c>
      <c r="M219" s="27" t="str">
        <f aca="false">IF(F219="","",DATE(YEAR(F219),MONTH(F219),1))</f>
        <v/>
      </c>
    </row>
    <row r="220" customFormat="false" ht="15" hidden="false" customHeight="false" outlineLevel="0" collapsed="false">
      <c r="A220" s="21"/>
      <c r="B220" s="21"/>
      <c r="C220" s="22"/>
      <c r="D220" s="23"/>
      <c r="E220" s="23"/>
      <c r="F220" s="22"/>
      <c r="G220" s="23"/>
      <c r="H220" s="24" t="str">
        <f aca="false">IF(G220="","",G220*'Booth Setup'!$C$8)</f>
        <v/>
      </c>
      <c r="I220" s="24" t="str">
        <f aca="false">IF(G220="","",G220*'Booth Setup'!$C$9)</f>
        <v/>
      </c>
      <c r="J220" s="24" t="str">
        <f aca="false">IF(G220="","",G220-H220-I220-D220)</f>
        <v/>
      </c>
      <c r="K220" s="25" t="str">
        <f aca="true">IF(C220="","",IF(F220="",TODAY(),F220)-C220)</f>
        <v/>
      </c>
      <c r="L220" s="26" t="str">
        <f aca="false">IF(A220="","",IF(G220&lt;&gt;"","Sold",IF(K220&gt;'Booth Setup'!$C$12,"STALE - mark down","In booth")))</f>
        <v/>
      </c>
      <c r="M220" s="27" t="str">
        <f aca="false">IF(F220="","",DATE(YEAR(F220),MONTH(F220),1))</f>
        <v/>
      </c>
    </row>
    <row r="221" customFormat="false" ht="15" hidden="false" customHeight="false" outlineLevel="0" collapsed="false">
      <c r="A221" s="21"/>
      <c r="B221" s="21"/>
      <c r="C221" s="22"/>
      <c r="D221" s="23"/>
      <c r="E221" s="23"/>
      <c r="F221" s="22"/>
      <c r="G221" s="23"/>
      <c r="H221" s="24" t="str">
        <f aca="false">IF(G221="","",G221*'Booth Setup'!$C$8)</f>
        <v/>
      </c>
      <c r="I221" s="24" t="str">
        <f aca="false">IF(G221="","",G221*'Booth Setup'!$C$9)</f>
        <v/>
      </c>
      <c r="J221" s="24" t="str">
        <f aca="false">IF(G221="","",G221-H221-I221-D221)</f>
        <v/>
      </c>
      <c r="K221" s="25" t="str">
        <f aca="true">IF(C221="","",IF(F221="",TODAY(),F221)-C221)</f>
        <v/>
      </c>
      <c r="L221" s="26" t="str">
        <f aca="false">IF(A221="","",IF(G221&lt;&gt;"","Sold",IF(K221&gt;'Booth Setup'!$C$12,"STALE - mark down","In booth")))</f>
        <v/>
      </c>
      <c r="M221" s="27" t="str">
        <f aca="false">IF(F221="","",DATE(YEAR(F221),MONTH(F221),1))</f>
        <v/>
      </c>
    </row>
    <row r="222" customFormat="false" ht="15" hidden="false" customHeight="false" outlineLevel="0" collapsed="false">
      <c r="A222" s="21"/>
      <c r="B222" s="21"/>
      <c r="C222" s="22"/>
      <c r="D222" s="23"/>
      <c r="E222" s="23"/>
      <c r="F222" s="22"/>
      <c r="G222" s="23"/>
      <c r="H222" s="24" t="str">
        <f aca="false">IF(G222="","",G222*'Booth Setup'!$C$8)</f>
        <v/>
      </c>
      <c r="I222" s="24" t="str">
        <f aca="false">IF(G222="","",G222*'Booth Setup'!$C$9)</f>
        <v/>
      </c>
      <c r="J222" s="24" t="str">
        <f aca="false">IF(G222="","",G222-H222-I222-D222)</f>
        <v/>
      </c>
      <c r="K222" s="25" t="str">
        <f aca="true">IF(C222="","",IF(F222="",TODAY(),F222)-C222)</f>
        <v/>
      </c>
      <c r="L222" s="26" t="str">
        <f aca="false">IF(A222="","",IF(G222&lt;&gt;"","Sold",IF(K222&gt;'Booth Setup'!$C$12,"STALE - mark down","In booth")))</f>
        <v/>
      </c>
      <c r="M222" s="27" t="str">
        <f aca="false">IF(F222="","",DATE(YEAR(F222),MONTH(F222),1))</f>
        <v/>
      </c>
    </row>
    <row r="223" customFormat="false" ht="15" hidden="false" customHeight="false" outlineLevel="0" collapsed="false">
      <c r="A223" s="21"/>
      <c r="B223" s="21"/>
      <c r="C223" s="22"/>
      <c r="D223" s="23"/>
      <c r="E223" s="23"/>
      <c r="F223" s="22"/>
      <c r="G223" s="23"/>
      <c r="H223" s="24" t="str">
        <f aca="false">IF(G223="","",G223*'Booth Setup'!$C$8)</f>
        <v/>
      </c>
      <c r="I223" s="24" t="str">
        <f aca="false">IF(G223="","",G223*'Booth Setup'!$C$9)</f>
        <v/>
      </c>
      <c r="J223" s="24" t="str">
        <f aca="false">IF(G223="","",G223-H223-I223-D223)</f>
        <v/>
      </c>
      <c r="K223" s="25" t="str">
        <f aca="true">IF(C223="","",IF(F223="",TODAY(),F223)-C223)</f>
        <v/>
      </c>
      <c r="L223" s="26" t="str">
        <f aca="false">IF(A223="","",IF(G223&lt;&gt;"","Sold",IF(K223&gt;'Booth Setup'!$C$12,"STALE - mark down","In booth")))</f>
        <v/>
      </c>
      <c r="M223" s="27" t="str">
        <f aca="false">IF(F223="","",DATE(YEAR(F223),MONTH(F223),1))</f>
        <v/>
      </c>
    </row>
    <row r="224" customFormat="false" ht="15" hidden="false" customHeight="false" outlineLevel="0" collapsed="false">
      <c r="A224" s="21"/>
      <c r="B224" s="21"/>
      <c r="C224" s="22"/>
      <c r="D224" s="23"/>
      <c r="E224" s="23"/>
      <c r="F224" s="22"/>
      <c r="G224" s="23"/>
      <c r="H224" s="24" t="str">
        <f aca="false">IF(G224="","",G224*'Booth Setup'!$C$8)</f>
        <v/>
      </c>
      <c r="I224" s="24" t="str">
        <f aca="false">IF(G224="","",G224*'Booth Setup'!$C$9)</f>
        <v/>
      </c>
      <c r="J224" s="24" t="str">
        <f aca="false">IF(G224="","",G224-H224-I224-D224)</f>
        <v/>
      </c>
      <c r="K224" s="25" t="str">
        <f aca="true">IF(C224="","",IF(F224="",TODAY(),F224)-C224)</f>
        <v/>
      </c>
      <c r="L224" s="26" t="str">
        <f aca="false">IF(A224="","",IF(G224&lt;&gt;"","Sold",IF(K224&gt;'Booth Setup'!$C$12,"STALE - mark down","In booth")))</f>
        <v/>
      </c>
      <c r="M224" s="27" t="str">
        <f aca="false">IF(F224="","",DATE(YEAR(F224),MONTH(F224),1))</f>
        <v/>
      </c>
    </row>
    <row r="225" customFormat="false" ht="15" hidden="false" customHeight="false" outlineLevel="0" collapsed="false">
      <c r="A225" s="21"/>
      <c r="B225" s="21"/>
      <c r="C225" s="22"/>
      <c r="D225" s="23"/>
      <c r="E225" s="23"/>
      <c r="F225" s="22"/>
      <c r="G225" s="23"/>
      <c r="H225" s="24" t="str">
        <f aca="false">IF(G225="","",G225*'Booth Setup'!$C$8)</f>
        <v/>
      </c>
      <c r="I225" s="24" t="str">
        <f aca="false">IF(G225="","",G225*'Booth Setup'!$C$9)</f>
        <v/>
      </c>
      <c r="J225" s="24" t="str">
        <f aca="false">IF(G225="","",G225-H225-I225-D225)</f>
        <v/>
      </c>
      <c r="K225" s="25" t="str">
        <f aca="true">IF(C225="","",IF(F225="",TODAY(),F225)-C225)</f>
        <v/>
      </c>
      <c r="L225" s="26" t="str">
        <f aca="false">IF(A225="","",IF(G225&lt;&gt;"","Sold",IF(K225&gt;'Booth Setup'!$C$12,"STALE - mark down","In booth")))</f>
        <v/>
      </c>
      <c r="M225" s="27" t="str">
        <f aca="false">IF(F225="","",DATE(YEAR(F225),MONTH(F225),1))</f>
        <v/>
      </c>
    </row>
    <row r="226" customFormat="false" ht="15" hidden="false" customHeight="false" outlineLevel="0" collapsed="false">
      <c r="A226" s="21"/>
      <c r="B226" s="21"/>
      <c r="C226" s="22"/>
      <c r="D226" s="23"/>
      <c r="E226" s="23"/>
      <c r="F226" s="22"/>
      <c r="G226" s="23"/>
      <c r="H226" s="24" t="str">
        <f aca="false">IF(G226="","",G226*'Booth Setup'!$C$8)</f>
        <v/>
      </c>
      <c r="I226" s="24" t="str">
        <f aca="false">IF(G226="","",G226*'Booth Setup'!$C$9)</f>
        <v/>
      </c>
      <c r="J226" s="24" t="str">
        <f aca="false">IF(G226="","",G226-H226-I226-D226)</f>
        <v/>
      </c>
      <c r="K226" s="25" t="str">
        <f aca="true">IF(C226="","",IF(F226="",TODAY(),F226)-C226)</f>
        <v/>
      </c>
      <c r="L226" s="26" t="str">
        <f aca="false">IF(A226="","",IF(G226&lt;&gt;"","Sold",IF(K226&gt;'Booth Setup'!$C$12,"STALE - mark down","In booth")))</f>
        <v/>
      </c>
      <c r="M226" s="27" t="str">
        <f aca="false">IF(F226="","",DATE(YEAR(F226),MONTH(F226),1))</f>
        <v/>
      </c>
    </row>
    <row r="227" customFormat="false" ht="15" hidden="false" customHeight="false" outlineLevel="0" collapsed="false">
      <c r="A227" s="21"/>
      <c r="B227" s="21"/>
      <c r="C227" s="22"/>
      <c r="D227" s="23"/>
      <c r="E227" s="23"/>
      <c r="F227" s="22"/>
      <c r="G227" s="23"/>
      <c r="H227" s="24" t="str">
        <f aca="false">IF(G227="","",G227*'Booth Setup'!$C$8)</f>
        <v/>
      </c>
      <c r="I227" s="24" t="str">
        <f aca="false">IF(G227="","",G227*'Booth Setup'!$C$9)</f>
        <v/>
      </c>
      <c r="J227" s="24" t="str">
        <f aca="false">IF(G227="","",G227-H227-I227-D227)</f>
        <v/>
      </c>
      <c r="K227" s="25" t="str">
        <f aca="true">IF(C227="","",IF(F227="",TODAY(),F227)-C227)</f>
        <v/>
      </c>
      <c r="L227" s="26" t="str">
        <f aca="false">IF(A227="","",IF(G227&lt;&gt;"","Sold",IF(K227&gt;'Booth Setup'!$C$12,"STALE - mark down","In booth")))</f>
        <v/>
      </c>
      <c r="M227" s="27" t="str">
        <f aca="false">IF(F227="","",DATE(YEAR(F227),MONTH(F227),1))</f>
        <v/>
      </c>
    </row>
    <row r="228" customFormat="false" ht="15" hidden="false" customHeight="false" outlineLevel="0" collapsed="false">
      <c r="A228" s="21"/>
      <c r="B228" s="21"/>
      <c r="C228" s="22"/>
      <c r="D228" s="23"/>
      <c r="E228" s="23"/>
      <c r="F228" s="22"/>
      <c r="G228" s="23"/>
      <c r="H228" s="24" t="str">
        <f aca="false">IF(G228="","",G228*'Booth Setup'!$C$8)</f>
        <v/>
      </c>
      <c r="I228" s="24" t="str">
        <f aca="false">IF(G228="","",G228*'Booth Setup'!$C$9)</f>
        <v/>
      </c>
      <c r="J228" s="24" t="str">
        <f aca="false">IF(G228="","",G228-H228-I228-D228)</f>
        <v/>
      </c>
      <c r="K228" s="25" t="str">
        <f aca="true">IF(C228="","",IF(F228="",TODAY(),F228)-C228)</f>
        <v/>
      </c>
      <c r="L228" s="26" t="str">
        <f aca="false">IF(A228="","",IF(G228&lt;&gt;"","Sold",IF(K228&gt;'Booth Setup'!$C$12,"STALE - mark down","In booth")))</f>
        <v/>
      </c>
      <c r="M228" s="27" t="str">
        <f aca="false">IF(F228="","",DATE(YEAR(F228),MONTH(F228),1))</f>
        <v/>
      </c>
    </row>
    <row r="229" customFormat="false" ht="15" hidden="false" customHeight="false" outlineLevel="0" collapsed="false">
      <c r="A229" s="21"/>
      <c r="B229" s="21"/>
      <c r="C229" s="22"/>
      <c r="D229" s="23"/>
      <c r="E229" s="23"/>
      <c r="F229" s="22"/>
      <c r="G229" s="23"/>
      <c r="H229" s="24" t="str">
        <f aca="false">IF(G229="","",G229*'Booth Setup'!$C$8)</f>
        <v/>
      </c>
      <c r="I229" s="24" t="str">
        <f aca="false">IF(G229="","",G229*'Booth Setup'!$C$9)</f>
        <v/>
      </c>
      <c r="J229" s="24" t="str">
        <f aca="false">IF(G229="","",G229-H229-I229-D229)</f>
        <v/>
      </c>
      <c r="K229" s="25" t="str">
        <f aca="true">IF(C229="","",IF(F229="",TODAY(),F229)-C229)</f>
        <v/>
      </c>
      <c r="L229" s="26" t="str">
        <f aca="false">IF(A229="","",IF(G229&lt;&gt;"","Sold",IF(K229&gt;'Booth Setup'!$C$12,"STALE - mark down","In booth")))</f>
        <v/>
      </c>
      <c r="M229" s="27" t="str">
        <f aca="false">IF(F229="","",DATE(YEAR(F229),MONTH(F229),1))</f>
        <v/>
      </c>
    </row>
    <row r="230" customFormat="false" ht="15" hidden="false" customHeight="false" outlineLevel="0" collapsed="false">
      <c r="A230" s="21"/>
      <c r="B230" s="21"/>
      <c r="C230" s="22"/>
      <c r="D230" s="23"/>
      <c r="E230" s="23"/>
      <c r="F230" s="22"/>
      <c r="G230" s="23"/>
      <c r="H230" s="24" t="str">
        <f aca="false">IF(G230="","",G230*'Booth Setup'!$C$8)</f>
        <v/>
      </c>
      <c r="I230" s="24" t="str">
        <f aca="false">IF(G230="","",G230*'Booth Setup'!$C$9)</f>
        <v/>
      </c>
      <c r="J230" s="24" t="str">
        <f aca="false">IF(G230="","",G230-H230-I230-D230)</f>
        <v/>
      </c>
      <c r="K230" s="25" t="str">
        <f aca="true">IF(C230="","",IF(F230="",TODAY(),F230)-C230)</f>
        <v/>
      </c>
      <c r="L230" s="26" t="str">
        <f aca="false">IF(A230="","",IF(G230&lt;&gt;"","Sold",IF(K230&gt;'Booth Setup'!$C$12,"STALE - mark down","In booth")))</f>
        <v/>
      </c>
      <c r="M230" s="27" t="str">
        <f aca="false">IF(F230="","",DATE(YEAR(F230),MONTH(F230),1))</f>
        <v/>
      </c>
    </row>
    <row r="231" customFormat="false" ht="15" hidden="false" customHeight="false" outlineLevel="0" collapsed="false">
      <c r="A231" s="21"/>
      <c r="B231" s="21"/>
      <c r="C231" s="22"/>
      <c r="D231" s="23"/>
      <c r="E231" s="23"/>
      <c r="F231" s="22"/>
      <c r="G231" s="23"/>
      <c r="H231" s="24" t="str">
        <f aca="false">IF(G231="","",G231*'Booth Setup'!$C$8)</f>
        <v/>
      </c>
      <c r="I231" s="24" t="str">
        <f aca="false">IF(G231="","",G231*'Booth Setup'!$C$9)</f>
        <v/>
      </c>
      <c r="J231" s="24" t="str">
        <f aca="false">IF(G231="","",G231-H231-I231-D231)</f>
        <v/>
      </c>
      <c r="K231" s="25" t="str">
        <f aca="true">IF(C231="","",IF(F231="",TODAY(),F231)-C231)</f>
        <v/>
      </c>
      <c r="L231" s="26" t="str">
        <f aca="false">IF(A231="","",IF(G231&lt;&gt;"","Sold",IF(K231&gt;'Booth Setup'!$C$12,"STALE - mark down","In booth")))</f>
        <v/>
      </c>
      <c r="M231" s="27" t="str">
        <f aca="false">IF(F231="","",DATE(YEAR(F231),MONTH(F231),1))</f>
        <v/>
      </c>
    </row>
    <row r="232" customFormat="false" ht="15" hidden="false" customHeight="false" outlineLevel="0" collapsed="false">
      <c r="A232" s="21"/>
      <c r="B232" s="21"/>
      <c r="C232" s="22"/>
      <c r="D232" s="23"/>
      <c r="E232" s="23"/>
      <c r="F232" s="22"/>
      <c r="G232" s="23"/>
      <c r="H232" s="24" t="str">
        <f aca="false">IF(G232="","",G232*'Booth Setup'!$C$8)</f>
        <v/>
      </c>
      <c r="I232" s="24" t="str">
        <f aca="false">IF(G232="","",G232*'Booth Setup'!$C$9)</f>
        <v/>
      </c>
      <c r="J232" s="24" t="str">
        <f aca="false">IF(G232="","",G232-H232-I232-D232)</f>
        <v/>
      </c>
      <c r="K232" s="25" t="str">
        <f aca="true">IF(C232="","",IF(F232="",TODAY(),F232)-C232)</f>
        <v/>
      </c>
      <c r="L232" s="26" t="str">
        <f aca="false">IF(A232="","",IF(G232&lt;&gt;"","Sold",IF(K232&gt;'Booth Setup'!$C$12,"STALE - mark down","In booth")))</f>
        <v/>
      </c>
      <c r="M232" s="27" t="str">
        <f aca="false">IF(F232="","",DATE(YEAR(F232),MONTH(F232),1))</f>
        <v/>
      </c>
    </row>
    <row r="233" customFormat="false" ht="15" hidden="false" customHeight="false" outlineLevel="0" collapsed="false">
      <c r="A233" s="21"/>
      <c r="B233" s="21"/>
      <c r="C233" s="22"/>
      <c r="D233" s="23"/>
      <c r="E233" s="23"/>
      <c r="F233" s="22"/>
      <c r="G233" s="23"/>
      <c r="H233" s="24" t="str">
        <f aca="false">IF(G233="","",G233*'Booth Setup'!$C$8)</f>
        <v/>
      </c>
      <c r="I233" s="24" t="str">
        <f aca="false">IF(G233="","",G233*'Booth Setup'!$C$9)</f>
        <v/>
      </c>
      <c r="J233" s="24" t="str">
        <f aca="false">IF(G233="","",G233-H233-I233-D233)</f>
        <v/>
      </c>
      <c r="K233" s="25" t="str">
        <f aca="true">IF(C233="","",IF(F233="",TODAY(),F233)-C233)</f>
        <v/>
      </c>
      <c r="L233" s="26" t="str">
        <f aca="false">IF(A233="","",IF(G233&lt;&gt;"","Sold",IF(K233&gt;'Booth Setup'!$C$12,"STALE - mark down","In booth")))</f>
        <v/>
      </c>
      <c r="M233" s="27" t="str">
        <f aca="false">IF(F233="","",DATE(YEAR(F233),MONTH(F233),1))</f>
        <v/>
      </c>
    </row>
    <row r="234" customFormat="false" ht="15" hidden="false" customHeight="false" outlineLevel="0" collapsed="false">
      <c r="A234" s="21"/>
      <c r="B234" s="21"/>
      <c r="C234" s="22"/>
      <c r="D234" s="23"/>
      <c r="E234" s="23"/>
      <c r="F234" s="22"/>
      <c r="G234" s="23"/>
      <c r="H234" s="24" t="str">
        <f aca="false">IF(G234="","",G234*'Booth Setup'!$C$8)</f>
        <v/>
      </c>
      <c r="I234" s="24" t="str">
        <f aca="false">IF(G234="","",G234*'Booth Setup'!$C$9)</f>
        <v/>
      </c>
      <c r="J234" s="24" t="str">
        <f aca="false">IF(G234="","",G234-H234-I234-D234)</f>
        <v/>
      </c>
      <c r="K234" s="25" t="str">
        <f aca="true">IF(C234="","",IF(F234="",TODAY(),F234)-C234)</f>
        <v/>
      </c>
      <c r="L234" s="26" t="str">
        <f aca="false">IF(A234="","",IF(G234&lt;&gt;"","Sold",IF(K234&gt;'Booth Setup'!$C$12,"STALE - mark down","In booth")))</f>
        <v/>
      </c>
      <c r="M234" s="27" t="str">
        <f aca="false">IF(F234="","",DATE(YEAR(F234),MONTH(F234),1))</f>
        <v/>
      </c>
    </row>
    <row r="235" customFormat="false" ht="15" hidden="false" customHeight="false" outlineLevel="0" collapsed="false">
      <c r="A235" s="21"/>
      <c r="B235" s="21"/>
      <c r="C235" s="22"/>
      <c r="D235" s="23"/>
      <c r="E235" s="23"/>
      <c r="F235" s="22"/>
      <c r="G235" s="23"/>
      <c r="H235" s="24" t="str">
        <f aca="false">IF(G235="","",G235*'Booth Setup'!$C$8)</f>
        <v/>
      </c>
      <c r="I235" s="24" t="str">
        <f aca="false">IF(G235="","",G235*'Booth Setup'!$C$9)</f>
        <v/>
      </c>
      <c r="J235" s="24" t="str">
        <f aca="false">IF(G235="","",G235-H235-I235-D235)</f>
        <v/>
      </c>
      <c r="K235" s="25" t="str">
        <f aca="true">IF(C235="","",IF(F235="",TODAY(),F235)-C235)</f>
        <v/>
      </c>
      <c r="L235" s="26" t="str">
        <f aca="false">IF(A235="","",IF(G235&lt;&gt;"","Sold",IF(K235&gt;'Booth Setup'!$C$12,"STALE - mark down","In booth")))</f>
        <v/>
      </c>
      <c r="M235" s="27" t="str">
        <f aca="false">IF(F235="","",DATE(YEAR(F235),MONTH(F235),1))</f>
        <v/>
      </c>
    </row>
    <row r="236" customFormat="false" ht="15" hidden="false" customHeight="false" outlineLevel="0" collapsed="false">
      <c r="A236" s="21"/>
      <c r="B236" s="21"/>
      <c r="C236" s="22"/>
      <c r="D236" s="23"/>
      <c r="E236" s="23"/>
      <c r="F236" s="22"/>
      <c r="G236" s="23"/>
      <c r="H236" s="24" t="str">
        <f aca="false">IF(G236="","",G236*'Booth Setup'!$C$8)</f>
        <v/>
      </c>
      <c r="I236" s="24" t="str">
        <f aca="false">IF(G236="","",G236*'Booth Setup'!$C$9)</f>
        <v/>
      </c>
      <c r="J236" s="24" t="str">
        <f aca="false">IF(G236="","",G236-H236-I236-D236)</f>
        <v/>
      </c>
      <c r="K236" s="25" t="str">
        <f aca="true">IF(C236="","",IF(F236="",TODAY(),F236)-C236)</f>
        <v/>
      </c>
      <c r="L236" s="26" t="str">
        <f aca="false">IF(A236="","",IF(G236&lt;&gt;"","Sold",IF(K236&gt;'Booth Setup'!$C$12,"STALE - mark down","In booth")))</f>
        <v/>
      </c>
      <c r="M236" s="27" t="str">
        <f aca="false">IF(F236="","",DATE(YEAR(F236),MONTH(F236),1))</f>
        <v/>
      </c>
    </row>
    <row r="237" customFormat="false" ht="15" hidden="false" customHeight="false" outlineLevel="0" collapsed="false">
      <c r="A237" s="21"/>
      <c r="B237" s="21"/>
      <c r="C237" s="22"/>
      <c r="D237" s="23"/>
      <c r="E237" s="23"/>
      <c r="F237" s="22"/>
      <c r="G237" s="23"/>
      <c r="H237" s="24" t="str">
        <f aca="false">IF(G237="","",G237*'Booth Setup'!$C$8)</f>
        <v/>
      </c>
      <c r="I237" s="24" t="str">
        <f aca="false">IF(G237="","",G237*'Booth Setup'!$C$9)</f>
        <v/>
      </c>
      <c r="J237" s="24" t="str">
        <f aca="false">IF(G237="","",G237-H237-I237-D237)</f>
        <v/>
      </c>
      <c r="K237" s="25" t="str">
        <f aca="true">IF(C237="","",IF(F237="",TODAY(),F237)-C237)</f>
        <v/>
      </c>
      <c r="L237" s="26" t="str">
        <f aca="false">IF(A237="","",IF(G237&lt;&gt;"","Sold",IF(K237&gt;'Booth Setup'!$C$12,"STALE - mark down","In booth")))</f>
        <v/>
      </c>
      <c r="M237" s="27" t="str">
        <f aca="false">IF(F237="","",DATE(YEAR(F237),MONTH(F237),1))</f>
        <v/>
      </c>
    </row>
    <row r="238" customFormat="false" ht="15" hidden="false" customHeight="false" outlineLevel="0" collapsed="false">
      <c r="A238" s="21"/>
      <c r="B238" s="21"/>
      <c r="C238" s="22"/>
      <c r="D238" s="23"/>
      <c r="E238" s="23"/>
      <c r="F238" s="22"/>
      <c r="G238" s="23"/>
      <c r="H238" s="24" t="str">
        <f aca="false">IF(G238="","",G238*'Booth Setup'!$C$8)</f>
        <v/>
      </c>
      <c r="I238" s="24" t="str">
        <f aca="false">IF(G238="","",G238*'Booth Setup'!$C$9)</f>
        <v/>
      </c>
      <c r="J238" s="24" t="str">
        <f aca="false">IF(G238="","",G238-H238-I238-D238)</f>
        <v/>
      </c>
      <c r="K238" s="25" t="str">
        <f aca="true">IF(C238="","",IF(F238="",TODAY(),F238)-C238)</f>
        <v/>
      </c>
      <c r="L238" s="26" t="str">
        <f aca="false">IF(A238="","",IF(G238&lt;&gt;"","Sold",IF(K238&gt;'Booth Setup'!$C$12,"STALE - mark down","In booth")))</f>
        <v/>
      </c>
      <c r="M238" s="27" t="str">
        <f aca="false">IF(F238="","",DATE(YEAR(F238),MONTH(F238),1))</f>
        <v/>
      </c>
    </row>
    <row r="239" customFormat="false" ht="15" hidden="false" customHeight="false" outlineLevel="0" collapsed="false">
      <c r="A239" s="21"/>
      <c r="B239" s="21"/>
      <c r="C239" s="22"/>
      <c r="D239" s="23"/>
      <c r="E239" s="23"/>
      <c r="F239" s="22"/>
      <c r="G239" s="23"/>
      <c r="H239" s="24" t="str">
        <f aca="false">IF(G239="","",G239*'Booth Setup'!$C$8)</f>
        <v/>
      </c>
      <c r="I239" s="24" t="str">
        <f aca="false">IF(G239="","",G239*'Booth Setup'!$C$9)</f>
        <v/>
      </c>
      <c r="J239" s="24" t="str">
        <f aca="false">IF(G239="","",G239-H239-I239-D239)</f>
        <v/>
      </c>
      <c r="K239" s="25" t="str">
        <f aca="true">IF(C239="","",IF(F239="",TODAY(),F239)-C239)</f>
        <v/>
      </c>
      <c r="L239" s="26" t="str">
        <f aca="false">IF(A239="","",IF(G239&lt;&gt;"","Sold",IF(K239&gt;'Booth Setup'!$C$12,"STALE - mark down","In booth")))</f>
        <v/>
      </c>
      <c r="M239" s="27" t="str">
        <f aca="false">IF(F239="","",DATE(YEAR(F239),MONTH(F239),1))</f>
        <v/>
      </c>
    </row>
    <row r="240" customFormat="false" ht="15" hidden="false" customHeight="false" outlineLevel="0" collapsed="false">
      <c r="A240" s="21"/>
      <c r="B240" s="21"/>
      <c r="C240" s="22"/>
      <c r="D240" s="23"/>
      <c r="E240" s="23"/>
      <c r="F240" s="22"/>
      <c r="G240" s="23"/>
      <c r="H240" s="24" t="str">
        <f aca="false">IF(G240="","",G240*'Booth Setup'!$C$8)</f>
        <v/>
      </c>
      <c r="I240" s="24" t="str">
        <f aca="false">IF(G240="","",G240*'Booth Setup'!$C$9)</f>
        <v/>
      </c>
      <c r="J240" s="24" t="str">
        <f aca="false">IF(G240="","",G240-H240-I240-D240)</f>
        <v/>
      </c>
      <c r="K240" s="25" t="str">
        <f aca="true">IF(C240="","",IF(F240="",TODAY(),F240)-C240)</f>
        <v/>
      </c>
      <c r="L240" s="26" t="str">
        <f aca="false">IF(A240="","",IF(G240&lt;&gt;"","Sold",IF(K240&gt;'Booth Setup'!$C$12,"STALE - mark down","In booth")))</f>
        <v/>
      </c>
      <c r="M240" s="27" t="str">
        <f aca="false">IF(F240="","",DATE(YEAR(F240),MONTH(F240),1))</f>
        <v/>
      </c>
    </row>
    <row r="241" customFormat="false" ht="15" hidden="false" customHeight="false" outlineLevel="0" collapsed="false">
      <c r="A241" s="21"/>
      <c r="B241" s="21"/>
      <c r="C241" s="22"/>
      <c r="D241" s="23"/>
      <c r="E241" s="23"/>
      <c r="F241" s="22"/>
      <c r="G241" s="23"/>
      <c r="H241" s="24" t="str">
        <f aca="false">IF(G241="","",G241*'Booth Setup'!$C$8)</f>
        <v/>
      </c>
      <c r="I241" s="24" t="str">
        <f aca="false">IF(G241="","",G241*'Booth Setup'!$C$9)</f>
        <v/>
      </c>
      <c r="J241" s="24" t="str">
        <f aca="false">IF(G241="","",G241-H241-I241-D241)</f>
        <v/>
      </c>
      <c r="K241" s="25" t="str">
        <f aca="true">IF(C241="","",IF(F241="",TODAY(),F241)-C241)</f>
        <v/>
      </c>
      <c r="L241" s="26" t="str">
        <f aca="false">IF(A241="","",IF(G241&lt;&gt;"","Sold",IF(K241&gt;'Booth Setup'!$C$12,"STALE - mark down","In booth")))</f>
        <v/>
      </c>
      <c r="M241" s="27" t="str">
        <f aca="false">IF(F241="","",DATE(YEAR(F241),MONTH(F241),1))</f>
        <v/>
      </c>
    </row>
    <row r="242" customFormat="false" ht="15" hidden="false" customHeight="false" outlineLevel="0" collapsed="false">
      <c r="A242" s="21"/>
      <c r="B242" s="21"/>
      <c r="C242" s="22"/>
      <c r="D242" s="23"/>
      <c r="E242" s="23"/>
      <c r="F242" s="22"/>
      <c r="G242" s="23"/>
      <c r="H242" s="24" t="str">
        <f aca="false">IF(G242="","",G242*'Booth Setup'!$C$8)</f>
        <v/>
      </c>
      <c r="I242" s="24" t="str">
        <f aca="false">IF(G242="","",G242*'Booth Setup'!$C$9)</f>
        <v/>
      </c>
      <c r="J242" s="24" t="str">
        <f aca="false">IF(G242="","",G242-H242-I242-D242)</f>
        <v/>
      </c>
      <c r="K242" s="25" t="str">
        <f aca="true">IF(C242="","",IF(F242="",TODAY(),F242)-C242)</f>
        <v/>
      </c>
      <c r="L242" s="26" t="str">
        <f aca="false">IF(A242="","",IF(G242&lt;&gt;"","Sold",IF(K242&gt;'Booth Setup'!$C$12,"STALE - mark down","In booth")))</f>
        <v/>
      </c>
      <c r="M242" s="27" t="str">
        <f aca="false">IF(F242="","",DATE(YEAR(F242),MONTH(F242),1))</f>
        <v/>
      </c>
    </row>
    <row r="243" customFormat="false" ht="15" hidden="false" customHeight="false" outlineLevel="0" collapsed="false">
      <c r="A243" s="21"/>
      <c r="B243" s="21"/>
      <c r="C243" s="22"/>
      <c r="D243" s="23"/>
      <c r="E243" s="23"/>
      <c r="F243" s="22"/>
      <c r="G243" s="23"/>
      <c r="H243" s="24" t="str">
        <f aca="false">IF(G243="","",G243*'Booth Setup'!$C$8)</f>
        <v/>
      </c>
      <c r="I243" s="24" t="str">
        <f aca="false">IF(G243="","",G243*'Booth Setup'!$C$9)</f>
        <v/>
      </c>
      <c r="J243" s="24" t="str">
        <f aca="false">IF(G243="","",G243-H243-I243-D243)</f>
        <v/>
      </c>
      <c r="K243" s="25" t="str">
        <f aca="true">IF(C243="","",IF(F243="",TODAY(),F243)-C243)</f>
        <v/>
      </c>
      <c r="L243" s="26" t="str">
        <f aca="false">IF(A243="","",IF(G243&lt;&gt;"","Sold",IF(K243&gt;'Booth Setup'!$C$12,"STALE - mark down","In booth")))</f>
        <v/>
      </c>
      <c r="M243" s="27" t="str">
        <f aca="false">IF(F243="","",DATE(YEAR(F243),MONTH(F243),1))</f>
        <v/>
      </c>
    </row>
    <row r="244" customFormat="false" ht="15" hidden="false" customHeight="false" outlineLevel="0" collapsed="false">
      <c r="A244" s="21"/>
      <c r="B244" s="21"/>
      <c r="C244" s="22"/>
      <c r="D244" s="23"/>
      <c r="E244" s="23"/>
      <c r="F244" s="22"/>
      <c r="G244" s="23"/>
      <c r="H244" s="24" t="str">
        <f aca="false">IF(G244="","",G244*'Booth Setup'!$C$8)</f>
        <v/>
      </c>
      <c r="I244" s="24" t="str">
        <f aca="false">IF(G244="","",G244*'Booth Setup'!$C$9)</f>
        <v/>
      </c>
      <c r="J244" s="24" t="str">
        <f aca="false">IF(G244="","",G244-H244-I244-D244)</f>
        <v/>
      </c>
      <c r="K244" s="25" t="str">
        <f aca="true">IF(C244="","",IF(F244="",TODAY(),F244)-C244)</f>
        <v/>
      </c>
      <c r="L244" s="26" t="str">
        <f aca="false">IF(A244="","",IF(G244&lt;&gt;"","Sold",IF(K244&gt;'Booth Setup'!$C$12,"STALE - mark down","In booth")))</f>
        <v/>
      </c>
      <c r="M244" s="27" t="str">
        <f aca="false">IF(F244="","",DATE(YEAR(F244),MONTH(F244),1))</f>
        <v/>
      </c>
    </row>
    <row r="245" customFormat="false" ht="15" hidden="false" customHeight="false" outlineLevel="0" collapsed="false">
      <c r="A245" s="21"/>
      <c r="B245" s="21"/>
      <c r="C245" s="22"/>
      <c r="D245" s="23"/>
      <c r="E245" s="23"/>
      <c r="F245" s="22"/>
      <c r="G245" s="23"/>
      <c r="H245" s="24" t="str">
        <f aca="false">IF(G245="","",G245*'Booth Setup'!$C$8)</f>
        <v/>
      </c>
      <c r="I245" s="24" t="str">
        <f aca="false">IF(G245="","",G245*'Booth Setup'!$C$9)</f>
        <v/>
      </c>
      <c r="J245" s="24" t="str">
        <f aca="false">IF(G245="","",G245-H245-I245-D245)</f>
        <v/>
      </c>
      <c r="K245" s="25" t="str">
        <f aca="true">IF(C245="","",IF(F245="",TODAY(),F245)-C245)</f>
        <v/>
      </c>
      <c r="L245" s="26" t="str">
        <f aca="false">IF(A245="","",IF(G245&lt;&gt;"","Sold",IF(K245&gt;'Booth Setup'!$C$12,"STALE - mark down","In booth")))</f>
        <v/>
      </c>
      <c r="M245" s="27" t="str">
        <f aca="false">IF(F245="","",DATE(YEAR(F245),MONTH(F245),1))</f>
        <v/>
      </c>
    </row>
    <row r="246" customFormat="false" ht="15" hidden="false" customHeight="false" outlineLevel="0" collapsed="false">
      <c r="A246" s="21"/>
      <c r="B246" s="21"/>
      <c r="C246" s="22"/>
      <c r="D246" s="23"/>
      <c r="E246" s="23"/>
      <c r="F246" s="22"/>
      <c r="G246" s="23"/>
      <c r="H246" s="24" t="str">
        <f aca="false">IF(G246="","",G246*'Booth Setup'!$C$8)</f>
        <v/>
      </c>
      <c r="I246" s="24" t="str">
        <f aca="false">IF(G246="","",G246*'Booth Setup'!$C$9)</f>
        <v/>
      </c>
      <c r="J246" s="24" t="str">
        <f aca="false">IF(G246="","",G246-H246-I246-D246)</f>
        <v/>
      </c>
      <c r="K246" s="25" t="str">
        <f aca="true">IF(C246="","",IF(F246="",TODAY(),F246)-C246)</f>
        <v/>
      </c>
      <c r="L246" s="26" t="str">
        <f aca="false">IF(A246="","",IF(G246&lt;&gt;"","Sold",IF(K246&gt;'Booth Setup'!$C$12,"STALE - mark down","In booth")))</f>
        <v/>
      </c>
      <c r="M246" s="27" t="str">
        <f aca="false">IF(F246="","",DATE(YEAR(F246),MONTH(F246),1))</f>
        <v/>
      </c>
    </row>
    <row r="247" customFormat="false" ht="15" hidden="false" customHeight="false" outlineLevel="0" collapsed="false">
      <c r="A247" s="21"/>
      <c r="B247" s="21"/>
      <c r="C247" s="22"/>
      <c r="D247" s="23"/>
      <c r="E247" s="23"/>
      <c r="F247" s="22"/>
      <c r="G247" s="23"/>
      <c r="H247" s="24" t="str">
        <f aca="false">IF(G247="","",G247*'Booth Setup'!$C$8)</f>
        <v/>
      </c>
      <c r="I247" s="24" t="str">
        <f aca="false">IF(G247="","",G247*'Booth Setup'!$C$9)</f>
        <v/>
      </c>
      <c r="J247" s="24" t="str">
        <f aca="false">IF(G247="","",G247-H247-I247-D247)</f>
        <v/>
      </c>
      <c r="K247" s="25" t="str">
        <f aca="true">IF(C247="","",IF(F247="",TODAY(),F247)-C247)</f>
        <v/>
      </c>
      <c r="L247" s="26" t="str">
        <f aca="false">IF(A247="","",IF(G247&lt;&gt;"","Sold",IF(K247&gt;'Booth Setup'!$C$12,"STALE - mark down","In booth")))</f>
        <v/>
      </c>
      <c r="M247" s="27" t="str">
        <f aca="false">IF(F247="","",DATE(YEAR(F247),MONTH(F247),1))</f>
        <v/>
      </c>
    </row>
    <row r="248" customFormat="false" ht="15" hidden="false" customHeight="false" outlineLevel="0" collapsed="false">
      <c r="A248" s="21"/>
      <c r="B248" s="21"/>
      <c r="C248" s="22"/>
      <c r="D248" s="23"/>
      <c r="E248" s="23"/>
      <c r="F248" s="22"/>
      <c r="G248" s="23"/>
      <c r="H248" s="24" t="str">
        <f aca="false">IF(G248="","",G248*'Booth Setup'!$C$8)</f>
        <v/>
      </c>
      <c r="I248" s="24" t="str">
        <f aca="false">IF(G248="","",G248*'Booth Setup'!$C$9)</f>
        <v/>
      </c>
      <c r="J248" s="24" t="str">
        <f aca="false">IF(G248="","",G248-H248-I248-D248)</f>
        <v/>
      </c>
      <c r="K248" s="25" t="str">
        <f aca="true">IF(C248="","",IF(F248="",TODAY(),F248)-C248)</f>
        <v/>
      </c>
      <c r="L248" s="26" t="str">
        <f aca="false">IF(A248="","",IF(G248&lt;&gt;"","Sold",IF(K248&gt;'Booth Setup'!$C$12,"STALE - mark down","In booth")))</f>
        <v/>
      </c>
      <c r="M248" s="27" t="str">
        <f aca="false">IF(F248="","",DATE(YEAR(F248),MONTH(F248),1))</f>
        <v/>
      </c>
    </row>
    <row r="249" customFormat="false" ht="15" hidden="false" customHeight="false" outlineLevel="0" collapsed="false">
      <c r="A249" s="21"/>
      <c r="B249" s="21"/>
      <c r="C249" s="22"/>
      <c r="D249" s="23"/>
      <c r="E249" s="23"/>
      <c r="F249" s="22"/>
      <c r="G249" s="23"/>
      <c r="H249" s="24" t="str">
        <f aca="false">IF(G249="","",G249*'Booth Setup'!$C$8)</f>
        <v/>
      </c>
      <c r="I249" s="24" t="str">
        <f aca="false">IF(G249="","",G249*'Booth Setup'!$C$9)</f>
        <v/>
      </c>
      <c r="J249" s="24" t="str">
        <f aca="false">IF(G249="","",G249-H249-I249-D249)</f>
        <v/>
      </c>
      <c r="K249" s="25" t="str">
        <f aca="true">IF(C249="","",IF(F249="",TODAY(),F249)-C249)</f>
        <v/>
      </c>
      <c r="L249" s="26" t="str">
        <f aca="false">IF(A249="","",IF(G249&lt;&gt;"","Sold",IF(K249&gt;'Booth Setup'!$C$12,"STALE - mark down","In booth")))</f>
        <v/>
      </c>
      <c r="M249" s="27" t="str">
        <f aca="false">IF(F249="","",DATE(YEAR(F249),MONTH(F249),1))</f>
        <v/>
      </c>
    </row>
    <row r="250" customFormat="false" ht="15" hidden="false" customHeight="false" outlineLevel="0" collapsed="false">
      <c r="A250" s="21"/>
      <c r="B250" s="21"/>
      <c r="C250" s="22"/>
      <c r="D250" s="23"/>
      <c r="E250" s="23"/>
      <c r="F250" s="22"/>
      <c r="G250" s="23"/>
      <c r="H250" s="24" t="str">
        <f aca="false">IF(G250="","",G250*'Booth Setup'!$C$8)</f>
        <v/>
      </c>
      <c r="I250" s="24" t="str">
        <f aca="false">IF(G250="","",G250*'Booth Setup'!$C$9)</f>
        <v/>
      </c>
      <c r="J250" s="24" t="str">
        <f aca="false">IF(G250="","",G250-H250-I250-D250)</f>
        <v/>
      </c>
      <c r="K250" s="25" t="str">
        <f aca="true">IF(C250="","",IF(F250="",TODAY(),F250)-C250)</f>
        <v/>
      </c>
      <c r="L250" s="26" t="str">
        <f aca="false">IF(A250="","",IF(G250&lt;&gt;"","Sold",IF(K250&gt;'Booth Setup'!$C$12,"STALE - mark down","In booth")))</f>
        <v/>
      </c>
      <c r="M250" s="27" t="str">
        <f aca="false">IF(F250="","",DATE(YEAR(F250),MONTH(F250),1))</f>
        <v/>
      </c>
    </row>
    <row r="251" customFormat="false" ht="15" hidden="false" customHeight="false" outlineLevel="0" collapsed="false">
      <c r="A251" s="21"/>
      <c r="B251" s="21"/>
      <c r="C251" s="22"/>
      <c r="D251" s="23"/>
      <c r="E251" s="23"/>
      <c r="F251" s="22"/>
      <c r="G251" s="23"/>
      <c r="H251" s="24" t="str">
        <f aca="false">IF(G251="","",G251*'Booth Setup'!$C$8)</f>
        <v/>
      </c>
      <c r="I251" s="24" t="str">
        <f aca="false">IF(G251="","",G251*'Booth Setup'!$C$9)</f>
        <v/>
      </c>
      <c r="J251" s="24" t="str">
        <f aca="false">IF(G251="","",G251-H251-I251-D251)</f>
        <v/>
      </c>
      <c r="K251" s="25" t="str">
        <f aca="true">IF(C251="","",IF(F251="",TODAY(),F251)-C251)</f>
        <v/>
      </c>
      <c r="L251" s="26" t="str">
        <f aca="false">IF(A251="","",IF(G251&lt;&gt;"","Sold",IF(K251&gt;'Booth Setup'!$C$12,"STALE - mark down","In booth")))</f>
        <v/>
      </c>
      <c r="M251" s="27" t="str">
        <f aca="false">IF(F251="","",DATE(YEAR(F251),MONTH(F251),1))</f>
        <v/>
      </c>
    </row>
  </sheetData>
  <autoFilter ref="A1:M251"/>
  <conditionalFormatting sqref="A2:M251">
    <cfRule type="expression" priority="2" aboveAverage="0" equalAverage="0" bottom="0" percent="0" rank="0" text="" dxfId="5">
      <formula>$L2="STALE - mark down"</formula>
    </cfRule>
  </conditionalFormatting>
  <conditionalFormatting sqref="J2:J251">
    <cfRule type="cellIs" priority="3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2" customFormat="false" ht="19.7" hidden="false" customHeight="false" outlineLevel="0" collapsed="false">
      <c r="B2" s="6" t="s">
        <v>59</v>
      </c>
    </row>
    <row r="3" customFormat="false" ht="15" hidden="false" customHeight="false" outlineLevel="0" collapsed="false">
      <c r="B3" s="7" t="s">
        <v>60</v>
      </c>
    </row>
    <row r="4" customFormat="false" ht="15" hidden="false" customHeight="false" outlineLevel="0" collapsed="false">
      <c r="B4" s="18" t="s">
        <v>61</v>
      </c>
      <c r="C4" s="28" t="n">
        <v>46235</v>
      </c>
    </row>
    <row r="6" customFormat="false" ht="30" hidden="false" customHeight="true" outlineLevel="0" collapsed="false">
      <c r="B6" s="20" t="s">
        <v>62</v>
      </c>
      <c r="C6" s="20" t="s">
        <v>63</v>
      </c>
      <c r="D6" s="20" t="s">
        <v>64</v>
      </c>
      <c r="E6" s="20" t="s">
        <v>65</v>
      </c>
      <c r="F6" s="20" t="s">
        <v>51</v>
      </c>
      <c r="G6" s="20" t="s">
        <v>66</v>
      </c>
      <c r="H6" s="20" t="s">
        <v>67</v>
      </c>
      <c r="I6" s="20" t="s">
        <v>68</v>
      </c>
      <c r="J6" s="20" t="s">
        <v>69</v>
      </c>
      <c r="K6" s="20" t="s">
        <v>70</v>
      </c>
    </row>
    <row r="7" customFormat="false" ht="15" hidden="false" customHeight="false" outlineLevel="0" collapsed="false">
      <c r="B7" s="27" t="n">
        <f aca="false">C4</f>
        <v>46235</v>
      </c>
      <c r="C7" s="29" t="n">
        <f aca="false">COUNTIFS('Inventory &amp; Sales'!$M$2:$M$251,B7)</f>
        <v>1</v>
      </c>
      <c r="D7" s="24" t="n">
        <f aca="false">SUMIFS('Inventory &amp; Sales'!$G$2:$G$251,'Inventory &amp; Sales'!$M$2:$M$251,B7)</f>
        <v>16</v>
      </c>
      <c r="E7" s="24" t="n">
        <f aca="false">SUMIFS('Inventory &amp; Sales'!$D$2:$D$251,'Inventory &amp; Sales'!$M$2:$M$251,B7)</f>
        <v>4</v>
      </c>
      <c r="F7" s="24" t="n">
        <f aca="false">SUMIFS('Inventory &amp; Sales'!$H$2:$H$251,'Inventory &amp; Sales'!$M$2:$M$251,B7)</f>
        <v>1.6</v>
      </c>
      <c r="G7" s="24" t="n">
        <f aca="false">SUMIFS('Inventory &amp; Sales'!$I$2:$I$251,'Inventory &amp; Sales'!$M$2:$M$251,B7)</f>
        <v>0.48</v>
      </c>
      <c r="H7" s="30" t="n">
        <f aca="false">'Booth Setup'!$C$7</f>
        <v>150</v>
      </c>
      <c r="I7" s="30" t="n">
        <f aca="false">'Booth Setup'!$C$11</f>
        <v>25</v>
      </c>
      <c r="J7" s="31" t="n">
        <f aca="false">D7-E7-F7-G7-H7-I7</f>
        <v>-165.08</v>
      </c>
      <c r="K7" s="26" t="str">
        <f aca="false">IF(C7=0,"No sales logged",IF(J7&gt;=0,"Made money","Lost money"))</f>
        <v>Lost money</v>
      </c>
    </row>
    <row r="8" customFormat="false" ht="15" hidden="false" customHeight="false" outlineLevel="0" collapsed="false">
      <c r="B8" s="27" t="n">
        <f aca="false">DATE(YEAR(B7),MONTH(B7)+1,1)</f>
        <v>46266</v>
      </c>
      <c r="C8" s="29" t="n">
        <f aca="false">COUNTIFS('Inventory &amp; Sales'!$M$2:$M$251,B8)</f>
        <v>0</v>
      </c>
      <c r="D8" s="24" t="n">
        <f aca="false">SUMIFS('Inventory &amp; Sales'!$G$2:$G$251,'Inventory &amp; Sales'!$M$2:$M$251,B8)</f>
        <v>0</v>
      </c>
      <c r="E8" s="24" t="n">
        <f aca="false">SUMIFS('Inventory &amp; Sales'!$D$2:$D$251,'Inventory &amp; Sales'!$M$2:$M$251,B8)</f>
        <v>0</v>
      </c>
      <c r="F8" s="24" t="n">
        <f aca="false">SUMIFS('Inventory &amp; Sales'!$H$2:$H$251,'Inventory &amp; Sales'!$M$2:$M$251,B8)</f>
        <v>0</v>
      </c>
      <c r="G8" s="24" t="n">
        <f aca="false">SUMIFS('Inventory &amp; Sales'!$I$2:$I$251,'Inventory &amp; Sales'!$M$2:$M$251,B8)</f>
        <v>0</v>
      </c>
      <c r="H8" s="30" t="n">
        <f aca="false">'Booth Setup'!$C$7</f>
        <v>150</v>
      </c>
      <c r="I8" s="30" t="n">
        <f aca="false">'Booth Setup'!$C$11</f>
        <v>25</v>
      </c>
      <c r="J8" s="31" t="n">
        <f aca="false">D8-E8-F8-G8-H8-I8</f>
        <v>-175</v>
      </c>
      <c r="K8" s="26" t="str">
        <f aca="false">IF(C8=0,"No sales logged",IF(J8&gt;=0,"Made money","Lost money"))</f>
        <v>No sales logged</v>
      </c>
    </row>
    <row r="9" customFormat="false" ht="15" hidden="false" customHeight="false" outlineLevel="0" collapsed="false">
      <c r="B9" s="27" t="n">
        <f aca="false">DATE(YEAR(B8),MONTH(B8)+1,1)</f>
        <v>46296</v>
      </c>
      <c r="C9" s="29" t="n">
        <f aca="false">COUNTIFS('Inventory &amp; Sales'!$M$2:$M$251,B9)</f>
        <v>0</v>
      </c>
      <c r="D9" s="24" t="n">
        <f aca="false">SUMIFS('Inventory &amp; Sales'!$G$2:$G$251,'Inventory &amp; Sales'!$M$2:$M$251,B9)</f>
        <v>0</v>
      </c>
      <c r="E9" s="24" t="n">
        <f aca="false">SUMIFS('Inventory &amp; Sales'!$D$2:$D$251,'Inventory &amp; Sales'!$M$2:$M$251,B9)</f>
        <v>0</v>
      </c>
      <c r="F9" s="24" t="n">
        <f aca="false">SUMIFS('Inventory &amp; Sales'!$H$2:$H$251,'Inventory &amp; Sales'!$M$2:$M$251,B9)</f>
        <v>0</v>
      </c>
      <c r="G9" s="24" t="n">
        <f aca="false">SUMIFS('Inventory &amp; Sales'!$I$2:$I$251,'Inventory &amp; Sales'!$M$2:$M$251,B9)</f>
        <v>0</v>
      </c>
      <c r="H9" s="30" t="n">
        <f aca="false">'Booth Setup'!$C$7</f>
        <v>150</v>
      </c>
      <c r="I9" s="30" t="n">
        <f aca="false">'Booth Setup'!$C$11</f>
        <v>25</v>
      </c>
      <c r="J9" s="31" t="n">
        <f aca="false">D9-E9-F9-G9-H9-I9</f>
        <v>-175</v>
      </c>
      <c r="K9" s="26" t="str">
        <f aca="false">IF(C9=0,"No sales logged",IF(J9&gt;=0,"Made money","Lost money"))</f>
        <v>No sales logged</v>
      </c>
    </row>
    <row r="10" customFormat="false" ht="15" hidden="false" customHeight="false" outlineLevel="0" collapsed="false">
      <c r="B10" s="27" t="n">
        <f aca="false">DATE(YEAR(B9),MONTH(B9)+1,1)</f>
        <v>46327</v>
      </c>
      <c r="C10" s="29" t="n">
        <f aca="false">COUNTIFS('Inventory &amp; Sales'!$M$2:$M$251,B10)</f>
        <v>0</v>
      </c>
      <c r="D10" s="24" t="n">
        <f aca="false">SUMIFS('Inventory &amp; Sales'!$G$2:$G$251,'Inventory &amp; Sales'!$M$2:$M$251,B10)</f>
        <v>0</v>
      </c>
      <c r="E10" s="24" t="n">
        <f aca="false">SUMIFS('Inventory &amp; Sales'!$D$2:$D$251,'Inventory &amp; Sales'!$M$2:$M$251,B10)</f>
        <v>0</v>
      </c>
      <c r="F10" s="24" t="n">
        <f aca="false">SUMIFS('Inventory &amp; Sales'!$H$2:$H$251,'Inventory &amp; Sales'!$M$2:$M$251,B10)</f>
        <v>0</v>
      </c>
      <c r="G10" s="24" t="n">
        <f aca="false">SUMIFS('Inventory &amp; Sales'!$I$2:$I$251,'Inventory &amp; Sales'!$M$2:$M$251,B10)</f>
        <v>0</v>
      </c>
      <c r="H10" s="30" t="n">
        <f aca="false">'Booth Setup'!$C$7</f>
        <v>150</v>
      </c>
      <c r="I10" s="30" t="n">
        <f aca="false">'Booth Setup'!$C$11</f>
        <v>25</v>
      </c>
      <c r="J10" s="31" t="n">
        <f aca="false">D10-E10-F10-G10-H10-I10</f>
        <v>-175</v>
      </c>
      <c r="K10" s="26" t="str">
        <f aca="false">IF(C10=0,"No sales logged",IF(J10&gt;=0,"Made money","Lost money"))</f>
        <v>No sales logged</v>
      </c>
    </row>
    <row r="11" customFormat="false" ht="15" hidden="false" customHeight="false" outlineLevel="0" collapsed="false">
      <c r="B11" s="27" t="n">
        <f aca="false">DATE(YEAR(B10),MONTH(B10)+1,1)</f>
        <v>46357</v>
      </c>
      <c r="C11" s="29" t="n">
        <f aca="false">COUNTIFS('Inventory &amp; Sales'!$M$2:$M$251,B11)</f>
        <v>0</v>
      </c>
      <c r="D11" s="24" t="n">
        <f aca="false">SUMIFS('Inventory &amp; Sales'!$G$2:$G$251,'Inventory &amp; Sales'!$M$2:$M$251,B11)</f>
        <v>0</v>
      </c>
      <c r="E11" s="24" t="n">
        <f aca="false">SUMIFS('Inventory &amp; Sales'!$D$2:$D$251,'Inventory &amp; Sales'!$M$2:$M$251,B11)</f>
        <v>0</v>
      </c>
      <c r="F11" s="24" t="n">
        <f aca="false">SUMIFS('Inventory &amp; Sales'!$H$2:$H$251,'Inventory &amp; Sales'!$M$2:$M$251,B11)</f>
        <v>0</v>
      </c>
      <c r="G11" s="24" t="n">
        <f aca="false">SUMIFS('Inventory &amp; Sales'!$I$2:$I$251,'Inventory &amp; Sales'!$M$2:$M$251,B11)</f>
        <v>0</v>
      </c>
      <c r="H11" s="30" t="n">
        <f aca="false">'Booth Setup'!$C$7</f>
        <v>150</v>
      </c>
      <c r="I11" s="30" t="n">
        <f aca="false">'Booth Setup'!$C$11</f>
        <v>25</v>
      </c>
      <c r="J11" s="31" t="n">
        <f aca="false">D11-E11-F11-G11-H11-I11</f>
        <v>-175</v>
      </c>
      <c r="K11" s="26" t="str">
        <f aca="false">IF(C11=0,"No sales logged",IF(J11&gt;=0,"Made money","Lost money"))</f>
        <v>No sales logged</v>
      </c>
    </row>
    <row r="12" customFormat="false" ht="15" hidden="false" customHeight="false" outlineLevel="0" collapsed="false">
      <c r="B12" s="27" t="n">
        <f aca="false">DATE(YEAR(B11),MONTH(B11)+1,1)</f>
        <v>46388</v>
      </c>
      <c r="C12" s="29" t="n">
        <f aca="false">COUNTIFS('Inventory &amp; Sales'!$M$2:$M$251,B12)</f>
        <v>0</v>
      </c>
      <c r="D12" s="24" t="n">
        <f aca="false">SUMIFS('Inventory &amp; Sales'!$G$2:$G$251,'Inventory &amp; Sales'!$M$2:$M$251,B12)</f>
        <v>0</v>
      </c>
      <c r="E12" s="24" t="n">
        <f aca="false">SUMIFS('Inventory &amp; Sales'!$D$2:$D$251,'Inventory &amp; Sales'!$M$2:$M$251,B12)</f>
        <v>0</v>
      </c>
      <c r="F12" s="24" t="n">
        <f aca="false">SUMIFS('Inventory &amp; Sales'!$H$2:$H$251,'Inventory &amp; Sales'!$M$2:$M$251,B12)</f>
        <v>0</v>
      </c>
      <c r="G12" s="24" t="n">
        <f aca="false">SUMIFS('Inventory &amp; Sales'!$I$2:$I$251,'Inventory &amp; Sales'!$M$2:$M$251,B12)</f>
        <v>0</v>
      </c>
      <c r="H12" s="30" t="n">
        <f aca="false">'Booth Setup'!$C$7</f>
        <v>150</v>
      </c>
      <c r="I12" s="30" t="n">
        <f aca="false">'Booth Setup'!$C$11</f>
        <v>25</v>
      </c>
      <c r="J12" s="31" t="n">
        <f aca="false">D12-E12-F12-G12-H12-I12</f>
        <v>-175</v>
      </c>
      <c r="K12" s="26" t="str">
        <f aca="false">IF(C12=0,"No sales logged",IF(J12&gt;=0,"Made money","Lost money"))</f>
        <v>No sales logged</v>
      </c>
    </row>
    <row r="13" customFormat="false" ht="15" hidden="false" customHeight="false" outlineLevel="0" collapsed="false">
      <c r="B13" s="27" t="n">
        <f aca="false">DATE(YEAR(B12),MONTH(B12)+1,1)</f>
        <v>46419</v>
      </c>
      <c r="C13" s="29" t="n">
        <f aca="false">COUNTIFS('Inventory &amp; Sales'!$M$2:$M$251,B13)</f>
        <v>0</v>
      </c>
      <c r="D13" s="24" t="n">
        <f aca="false">SUMIFS('Inventory &amp; Sales'!$G$2:$G$251,'Inventory &amp; Sales'!$M$2:$M$251,B13)</f>
        <v>0</v>
      </c>
      <c r="E13" s="24" t="n">
        <f aca="false">SUMIFS('Inventory &amp; Sales'!$D$2:$D$251,'Inventory &amp; Sales'!$M$2:$M$251,B13)</f>
        <v>0</v>
      </c>
      <c r="F13" s="24" t="n">
        <f aca="false">SUMIFS('Inventory &amp; Sales'!$H$2:$H$251,'Inventory &amp; Sales'!$M$2:$M$251,B13)</f>
        <v>0</v>
      </c>
      <c r="G13" s="24" t="n">
        <f aca="false">SUMIFS('Inventory &amp; Sales'!$I$2:$I$251,'Inventory &amp; Sales'!$M$2:$M$251,B13)</f>
        <v>0</v>
      </c>
      <c r="H13" s="30" t="n">
        <f aca="false">'Booth Setup'!$C$7</f>
        <v>150</v>
      </c>
      <c r="I13" s="30" t="n">
        <f aca="false">'Booth Setup'!$C$11</f>
        <v>25</v>
      </c>
      <c r="J13" s="31" t="n">
        <f aca="false">D13-E13-F13-G13-H13-I13</f>
        <v>-175</v>
      </c>
      <c r="K13" s="26" t="str">
        <f aca="false">IF(C13=0,"No sales logged",IF(J13&gt;=0,"Made money","Lost money"))</f>
        <v>No sales logged</v>
      </c>
    </row>
    <row r="14" customFormat="false" ht="15" hidden="false" customHeight="false" outlineLevel="0" collapsed="false">
      <c r="B14" s="27" t="n">
        <f aca="false">DATE(YEAR(B13),MONTH(B13)+1,1)</f>
        <v>46447</v>
      </c>
      <c r="C14" s="29" t="n">
        <f aca="false">COUNTIFS('Inventory &amp; Sales'!$M$2:$M$251,B14)</f>
        <v>0</v>
      </c>
      <c r="D14" s="24" t="n">
        <f aca="false">SUMIFS('Inventory &amp; Sales'!$G$2:$G$251,'Inventory &amp; Sales'!$M$2:$M$251,B14)</f>
        <v>0</v>
      </c>
      <c r="E14" s="24" t="n">
        <f aca="false">SUMIFS('Inventory &amp; Sales'!$D$2:$D$251,'Inventory &amp; Sales'!$M$2:$M$251,B14)</f>
        <v>0</v>
      </c>
      <c r="F14" s="24" t="n">
        <f aca="false">SUMIFS('Inventory &amp; Sales'!$H$2:$H$251,'Inventory &amp; Sales'!$M$2:$M$251,B14)</f>
        <v>0</v>
      </c>
      <c r="G14" s="24" t="n">
        <f aca="false">SUMIFS('Inventory &amp; Sales'!$I$2:$I$251,'Inventory &amp; Sales'!$M$2:$M$251,B14)</f>
        <v>0</v>
      </c>
      <c r="H14" s="30" t="n">
        <f aca="false">'Booth Setup'!$C$7</f>
        <v>150</v>
      </c>
      <c r="I14" s="30" t="n">
        <f aca="false">'Booth Setup'!$C$11</f>
        <v>25</v>
      </c>
      <c r="J14" s="31" t="n">
        <f aca="false">D14-E14-F14-G14-H14-I14</f>
        <v>-175</v>
      </c>
      <c r="K14" s="26" t="str">
        <f aca="false">IF(C14=0,"No sales logged",IF(J14&gt;=0,"Made money","Lost money"))</f>
        <v>No sales logged</v>
      </c>
    </row>
    <row r="15" customFormat="false" ht="15" hidden="false" customHeight="false" outlineLevel="0" collapsed="false">
      <c r="B15" s="27" t="n">
        <f aca="false">DATE(YEAR(B14),MONTH(B14)+1,1)</f>
        <v>46478</v>
      </c>
      <c r="C15" s="29" t="n">
        <f aca="false">COUNTIFS('Inventory &amp; Sales'!$M$2:$M$251,B15)</f>
        <v>0</v>
      </c>
      <c r="D15" s="24" t="n">
        <f aca="false">SUMIFS('Inventory &amp; Sales'!$G$2:$G$251,'Inventory &amp; Sales'!$M$2:$M$251,B15)</f>
        <v>0</v>
      </c>
      <c r="E15" s="24" t="n">
        <f aca="false">SUMIFS('Inventory &amp; Sales'!$D$2:$D$251,'Inventory &amp; Sales'!$M$2:$M$251,B15)</f>
        <v>0</v>
      </c>
      <c r="F15" s="24" t="n">
        <f aca="false">SUMIFS('Inventory &amp; Sales'!$H$2:$H$251,'Inventory &amp; Sales'!$M$2:$M$251,B15)</f>
        <v>0</v>
      </c>
      <c r="G15" s="24" t="n">
        <f aca="false">SUMIFS('Inventory &amp; Sales'!$I$2:$I$251,'Inventory &amp; Sales'!$M$2:$M$251,B15)</f>
        <v>0</v>
      </c>
      <c r="H15" s="30" t="n">
        <f aca="false">'Booth Setup'!$C$7</f>
        <v>150</v>
      </c>
      <c r="I15" s="30" t="n">
        <f aca="false">'Booth Setup'!$C$11</f>
        <v>25</v>
      </c>
      <c r="J15" s="31" t="n">
        <f aca="false">D15-E15-F15-G15-H15-I15</f>
        <v>-175</v>
      </c>
      <c r="K15" s="26" t="str">
        <f aca="false">IF(C15=0,"No sales logged",IF(J15&gt;=0,"Made money","Lost money"))</f>
        <v>No sales logged</v>
      </c>
    </row>
    <row r="16" customFormat="false" ht="15" hidden="false" customHeight="false" outlineLevel="0" collapsed="false">
      <c r="B16" s="27" t="n">
        <f aca="false">DATE(YEAR(B15),MONTH(B15)+1,1)</f>
        <v>46508</v>
      </c>
      <c r="C16" s="29" t="n">
        <f aca="false">COUNTIFS('Inventory &amp; Sales'!$M$2:$M$251,B16)</f>
        <v>0</v>
      </c>
      <c r="D16" s="24" t="n">
        <f aca="false">SUMIFS('Inventory &amp; Sales'!$G$2:$G$251,'Inventory &amp; Sales'!$M$2:$M$251,B16)</f>
        <v>0</v>
      </c>
      <c r="E16" s="24" t="n">
        <f aca="false">SUMIFS('Inventory &amp; Sales'!$D$2:$D$251,'Inventory &amp; Sales'!$M$2:$M$251,B16)</f>
        <v>0</v>
      </c>
      <c r="F16" s="24" t="n">
        <f aca="false">SUMIFS('Inventory &amp; Sales'!$H$2:$H$251,'Inventory &amp; Sales'!$M$2:$M$251,B16)</f>
        <v>0</v>
      </c>
      <c r="G16" s="24" t="n">
        <f aca="false">SUMIFS('Inventory &amp; Sales'!$I$2:$I$251,'Inventory &amp; Sales'!$M$2:$M$251,B16)</f>
        <v>0</v>
      </c>
      <c r="H16" s="30" t="n">
        <f aca="false">'Booth Setup'!$C$7</f>
        <v>150</v>
      </c>
      <c r="I16" s="30" t="n">
        <f aca="false">'Booth Setup'!$C$11</f>
        <v>25</v>
      </c>
      <c r="J16" s="31" t="n">
        <f aca="false">D16-E16-F16-G16-H16-I16</f>
        <v>-175</v>
      </c>
      <c r="K16" s="26" t="str">
        <f aca="false">IF(C16=0,"No sales logged",IF(J16&gt;=0,"Made money","Lost money"))</f>
        <v>No sales logged</v>
      </c>
    </row>
    <row r="17" customFormat="false" ht="15" hidden="false" customHeight="false" outlineLevel="0" collapsed="false">
      <c r="B17" s="27" t="n">
        <f aca="false">DATE(YEAR(B16),MONTH(B16)+1,1)</f>
        <v>46539</v>
      </c>
      <c r="C17" s="29" t="n">
        <f aca="false">COUNTIFS('Inventory &amp; Sales'!$M$2:$M$251,B17)</f>
        <v>0</v>
      </c>
      <c r="D17" s="24" t="n">
        <f aca="false">SUMIFS('Inventory &amp; Sales'!$G$2:$G$251,'Inventory &amp; Sales'!$M$2:$M$251,B17)</f>
        <v>0</v>
      </c>
      <c r="E17" s="24" t="n">
        <f aca="false">SUMIFS('Inventory &amp; Sales'!$D$2:$D$251,'Inventory &amp; Sales'!$M$2:$M$251,B17)</f>
        <v>0</v>
      </c>
      <c r="F17" s="24" t="n">
        <f aca="false">SUMIFS('Inventory &amp; Sales'!$H$2:$H$251,'Inventory &amp; Sales'!$M$2:$M$251,B17)</f>
        <v>0</v>
      </c>
      <c r="G17" s="24" t="n">
        <f aca="false">SUMIFS('Inventory &amp; Sales'!$I$2:$I$251,'Inventory &amp; Sales'!$M$2:$M$251,B17)</f>
        <v>0</v>
      </c>
      <c r="H17" s="30" t="n">
        <f aca="false">'Booth Setup'!$C$7</f>
        <v>150</v>
      </c>
      <c r="I17" s="30" t="n">
        <f aca="false">'Booth Setup'!$C$11</f>
        <v>25</v>
      </c>
      <c r="J17" s="31" t="n">
        <f aca="false">D17-E17-F17-G17-H17-I17</f>
        <v>-175</v>
      </c>
      <c r="K17" s="26" t="str">
        <f aca="false">IF(C17=0,"No sales logged",IF(J17&gt;=0,"Made money","Lost money"))</f>
        <v>No sales logged</v>
      </c>
    </row>
    <row r="18" customFormat="false" ht="15" hidden="false" customHeight="false" outlineLevel="0" collapsed="false">
      <c r="B18" s="27" t="n">
        <f aca="false">DATE(YEAR(B17),MONTH(B17)+1,1)</f>
        <v>46569</v>
      </c>
      <c r="C18" s="29" t="n">
        <f aca="false">COUNTIFS('Inventory &amp; Sales'!$M$2:$M$251,B18)</f>
        <v>0</v>
      </c>
      <c r="D18" s="24" t="n">
        <f aca="false">SUMIFS('Inventory &amp; Sales'!$G$2:$G$251,'Inventory &amp; Sales'!$M$2:$M$251,B18)</f>
        <v>0</v>
      </c>
      <c r="E18" s="24" t="n">
        <f aca="false">SUMIFS('Inventory &amp; Sales'!$D$2:$D$251,'Inventory &amp; Sales'!$M$2:$M$251,B18)</f>
        <v>0</v>
      </c>
      <c r="F18" s="24" t="n">
        <f aca="false">SUMIFS('Inventory &amp; Sales'!$H$2:$H$251,'Inventory &amp; Sales'!$M$2:$M$251,B18)</f>
        <v>0</v>
      </c>
      <c r="G18" s="24" t="n">
        <f aca="false">SUMIFS('Inventory &amp; Sales'!$I$2:$I$251,'Inventory &amp; Sales'!$M$2:$M$251,B18)</f>
        <v>0</v>
      </c>
      <c r="H18" s="30" t="n">
        <f aca="false">'Booth Setup'!$C$7</f>
        <v>150</v>
      </c>
      <c r="I18" s="30" t="n">
        <f aca="false">'Booth Setup'!$C$11</f>
        <v>25</v>
      </c>
      <c r="J18" s="31" t="n">
        <f aca="false">D18-E18-F18-G18-H18-I18</f>
        <v>-175</v>
      </c>
      <c r="K18" s="26" t="str">
        <f aca="false">IF(C18=0,"No sales logged",IF(J18&gt;=0,"Made money","Lost money"))</f>
        <v>No sales logged</v>
      </c>
    </row>
    <row r="19" customFormat="false" ht="15" hidden="false" customHeight="false" outlineLevel="0" collapsed="false">
      <c r="B19" s="32" t="s">
        <v>71</v>
      </c>
      <c r="C19" s="33" t="n">
        <f aca="false">SUM(C7:C18)</f>
        <v>1</v>
      </c>
      <c r="D19" s="34" t="n">
        <f aca="false">SUM(D7:D18)</f>
        <v>16</v>
      </c>
      <c r="E19" s="34" t="n">
        <f aca="false">SUM(E7:E18)</f>
        <v>4</v>
      </c>
      <c r="F19" s="34" t="n">
        <f aca="false">SUM(F7:F18)</f>
        <v>1.6</v>
      </c>
      <c r="G19" s="34" t="n">
        <f aca="false">SUM(G7:G18)</f>
        <v>0.48</v>
      </c>
      <c r="H19" s="34" t="n">
        <f aca="false">SUM(H7:H18)</f>
        <v>1800</v>
      </c>
      <c r="I19" s="34" t="n">
        <f aca="false">SUM(I7:I18)</f>
        <v>300</v>
      </c>
      <c r="J19" s="34" t="n">
        <f aca="false">SUM(J7:J18)</f>
        <v>-2090.08</v>
      </c>
    </row>
    <row r="21" customFormat="false" ht="15" hidden="false" customHeight="false" outlineLevel="0" collapsed="false">
      <c r="B21" s="12" t="s">
        <v>72</v>
      </c>
    </row>
  </sheetData>
  <conditionalFormatting sqref="J7:J19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K7:K18">
    <cfRule type="expression" priority="4" aboveAverage="0" equalAverage="0" bottom="0" percent="0" rank="0" text="" dxfId="6">
      <formula>$K7="Lost money"</formula>
    </cfRule>
    <cfRule type="expression" priority="5" aboveAverage="0" equalAverage="0" bottom="0" percent="0" rank="0" text="" dxfId="7">
      <formula>$K7="Made money"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2026-09-27T13:42:55Z</dcterms:created>
  <dc:creator>openpyxl</dc:creator>
  <dc:description/>
  <dc:language>en-US</dc:language>
  <cp:lastModifiedBy/>
  <dcterms:modified xsi:type="dcterms:W3CDTF">2026-09-27T13:42:55Z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